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96\OneDrive\바탕 화면\"/>
    </mc:Choice>
  </mc:AlternateContent>
  <xr:revisionPtr revIDLastSave="0" documentId="13_ncr:1_{5D3A57AA-4843-4E3F-95CE-9A1960422F34}" xr6:coauthVersionLast="47" xr6:coauthVersionMax="47" xr10:uidLastSave="{00000000-0000-0000-0000-000000000000}"/>
  <bookViews>
    <workbookView xWindow="-103" yWindow="-103" windowWidth="24892" windowHeight="14914" activeTab="2" xr2:uid="{FFF574B7-B148-45E8-8411-E700EBA73BC3}"/>
  </bookViews>
  <sheets>
    <sheet name="기존" sheetId="1" r:id="rId1"/>
    <sheet name="개선" sheetId="2" r:id="rId2"/>
    <sheet name="개선2" sheetId="3" r:id="rId3"/>
    <sheet name="동시입차(기존)" sheetId="6" r:id="rId4"/>
    <sheet name="동시입차(개선)" sheetId="4" r:id="rId5"/>
    <sheet name="동시입차(개선2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3" l="1"/>
  <c r="J54" i="3"/>
  <c r="J55" i="3"/>
  <c r="J56" i="3"/>
  <c r="J51" i="3"/>
  <c r="J52" i="3"/>
  <c r="J52" i="2"/>
  <c r="J53" i="2"/>
  <c r="J54" i="2"/>
  <c r="J56" i="2"/>
  <c r="J46" i="2"/>
  <c r="J45" i="2"/>
  <c r="J44" i="2"/>
  <c r="J43" i="2"/>
  <c r="J42" i="2"/>
  <c r="J41" i="2"/>
  <c r="J46" i="1"/>
  <c r="J45" i="1"/>
  <c r="J44" i="1"/>
  <c r="J43" i="1"/>
  <c r="J42" i="1"/>
  <c r="J41" i="1"/>
  <c r="S30" i="2"/>
  <c r="R30" i="2"/>
  <c r="Q30" i="2"/>
  <c r="J40" i="1"/>
  <c r="J40" i="2"/>
  <c r="J39" i="2"/>
  <c r="J32" i="3"/>
  <c r="K32" i="3" s="1"/>
  <c r="J30" i="3"/>
  <c r="U26" i="3"/>
  <c r="U27" i="3" s="1"/>
  <c r="U28" i="3" s="1"/>
  <c r="U29" i="3" s="1"/>
  <c r="U30" i="3" s="1"/>
  <c r="U31" i="3" s="1"/>
  <c r="R26" i="3"/>
  <c r="R27" i="3" s="1"/>
  <c r="R28" i="3" s="1"/>
  <c r="R29" i="3" s="1"/>
  <c r="R30" i="3" s="1"/>
  <c r="R31" i="3" s="1"/>
  <c r="R32" i="3" s="1"/>
  <c r="R33" i="3" s="1"/>
  <c r="O26" i="3"/>
  <c r="O27" i="3" s="1"/>
  <c r="O28" i="3" s="1"/>
  <c r="O29" i="3" s="1"/>
  <c r="O30" i="3" s="1"/>
  <c r="O31" i="3" s="1"/>
  <c r="O32" i="3" s="1"/>
  <c r="O33" i="3" s="1"/>
  <c r="T26" i="3"/>
  <c r="T27" i="3" s="1"/>
  <c r="T28" i="3" s="1"/>
  <c r="T29" i="3" s="1"/>
  <c r="T30" i="3" s="1"/>
  <c r="T31" i="3" s="1"/>
  <c r="S26" i="3"/>
  <c r="S27" i="3" s="1"/>
  <c r="S28" i="3" s="1"/>
  <c r="S29" i="3" s="1"/>
  <c r="S30" i="3" s="1"/>
  <c r="S31" i="3" s="1"/>
  <c r="Q26" i="3"/>
  <c r="Q27" i="3" s="1"/>
  <c r="Q28" i="3" s="1"/>
  <c r="Q29" i="3" s="1"/>
  <c r="Q30" i="3" s="1"/>
  <c r="Q31" i="3" s="1"/>
  <c r="P26" i="3"/>
  <c r="P27" i="3" s="1"/>
  <c r="P28" i="3" s="1"/>
  <c r="P29" i="3" s="1"/>
  <c r="P30" i="3" s="1"/>
  <c r="P31" i="3" s="1"/>
  <c r="N26" i="3"/>
  <c r="N27" i="3" s="1"/>
  <c r="N28" i="3" s="1"/>
  <c r="N29" i="3" s="1"/>
  <c r="N30" i="3" s="1"/>
  <c r="N31" i="3" s="1"/>
  <c r="M26" i="3"/>
  <c r="M27" i="3" s="1"/>
  <c r="M28" i="3" s="1"/>
  <c r="M29" i="3" s="1"/>
  <c r="M30" i="3" s="1"/>
  <c r="M31" i="3" s="1"/>
  <c r="L26" i="3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K26" i="3"/>
  <c r="K27" i="3" s="1"/>
  <c r="K28" i="3" s="1"/>
  <c r="K29" i="3" s="1"/>
  <c r="K30" i="3" s="1"/>
  <c r="K31" i="3" s="1"/>
  <c r="J48" i="2"/>
  <c r="T34" i="2"/>
  <c r="R34" i="2"/>
  <c r="U32" i="2"/>
  <c r="P32" i="2"/>
  <c r="T32" i="2"/>
  <c r="T33" i="2" s="1"/>
  <c r="T35" i="2" s="1"/>
  <c r="T36" i="2" s="1"/>
  <c r="O32" i="2"/>
  <c r="N32" i="2"/>
  <c r="S32" i="2"/>
  <c r="R32" i="2"/>
  <c r="M32" i="2"/>
  <c r="J32" i="2"/>
  <c r="R31" i="2"/>
  <c r="S31" i="2"/>
  <c r="T31" i="2"/>
  <c r="K31" i="2"/>
  <c r="L31" i="2"/>
  <c r="M31" i="2"/>
  <c r="N31" i="2"/>
  <c r="O31" i="2"/>
  <c r="P31" i="2"/>
  <c r="T30" i="2"/>
  <c r="J39" i="1"/>
  <c r="N30" i="2"/>
  <c r="M30" i="2"/>
  <c r="P28" i="2"/>
  <c r="U28" i="2"/>
  <c r="L28" i="2"/>
  <c r="M28" i="2" s="1"/>
  <c r="N28" i="2" s="1"/>
  <c r="K28" i="2"/>
  <c r="U26" i="2"/>
  <c r="U27" i="2" s="1"/>
  <c r="U29" i="2" s="1"/>
  <c r="U30" i="2" s="1"/>
  <c r="U31" i="2" s="1"/>
  <c r="U33" i="2" s="1"/>
  <c r="U34" i="2" s="1"/>
  <c r="U35" i="2" s="1"/>
  <c r="U36" i="2" s="1"/>
  <c r="R26" i="2"/>
  <c r="R27" i="2" s="1"/>
  <c r="R28" i="2" s="1"/>
  <c r="R29" i="2" s="1"/>
  <c r="R33" i="2" s="1"/>
  <c r="R35" i="2" s="1"/>
  <c r="R36" i="2" s="1"/>
  <c r="S26" i="2"/>
  <c r="S27" i="2" s="1"/>
  <c r="S28" i="2" s="1"/>
  <c r="S29" i="2" s="1"/>
  <c r="T26" i="2"/>
  <c r="T27" i="2"/>
  <c r="T28" i="2"/>
  <c r="T29" i="2"/>
  <c r="Q26" i="2"/>
  <c r="Q27" i="2" s="1"/>
  <c r="Q28" i="2" s="1"/>
  <c r="Q29" i="2" s="1"/>
  <c r="Q31" i="2" s="1"/>
  <c r="Q32" i="2" s="1"/>
  <c r="Q33" i="2" s="1"/>
  <c r="Q34" i="2" s="1"/>
  <c r="Q35" i="2" s="1"/>
  <c r="Q36" i="2" s="1"/>
  <c r="P26" i="2"/>
  <c r="P27" i="2" s="1"/>
  <c r="K26" i="2"/>
  <c r="K27" i="2" s="1"/>
  <c r="K29" i="2" s="1"/>
  <c r="K30" i="2" s="1"/>
  <c r="K32" i="2" s="1"/>
  <c r="K33" i="2" s="1"/>
  <c r="K34" i="2" s="1"/>
  <c r="K35" i="2" s="1"/>
  <c r="K36" i="2" s="1"/>
  <c r="K37" i="2" s="1"/>
  <c r="L26" i="2"/>
  <c r="L27" i="2" s="1"/>
  <c r="L29" i="2" s="1"/>
  <c r="L30" i="2" s="1"/>
  <c r="L32" i="2" s="1"/>
  <c r="L33" i="2" s="1"/>
  <c r="L34" i="2" s="1"/>
  <c r="L35" i="2" s="1"/>
  <c r="L36" i="2" s="1"/>
  <c r="L37" i="2" s="1"/>
  <c r="M26" i="2"/>
  <c r="M27" i="2" s="1"/>
  <c r="N26" i="2"/>
  <c r="O26" i="2"/>
  <c r="N27" i="2"/>
  <c r="O27" i="2"/>
  <c r="J37" i="2"/>
  <c r="J38" i="1"/>
  <c r="K37" i="1"/>
  <c r="L37" i="1"/>
  <c r="M37" i="1"/>
  <c r="N37" i="1"/>
  <c r="O37" i="1"/>
  <c r="P37" i="1"/>
  <c r="Q37" i="1"/>
  <c r="R37" i="1"/>
  <c r="S37" i="1"/>
  <c r="T37" i="1"/>
  <c r="U37" i="1"/>
  <c r="J37" i="1"/>
  <c r="T34" i="1"/>
  <c r="S34" i="1"/>
  <c r="Q34" i="1"/>
  <c r="N34" i="1"/>
  <c r="O34" i="1"/>
  <c r="U32" i="1"/>
  <c r="T32" i="1"/>
  <c r="P32" i="1"/>
  <c r="S32" i="1"/>
  <c r="O32" i="1"/>
  <c r="N32" i="1"/>
  <c r="R32" i="1"/>
  <c r="Q32" i="1"/>
  <c r="K35" i="1"/>
  <c r="L35" i="1"/>
  <c r="M35" i="1"/>
  <c r="J35" i="1"/>
  <c r="R33" i="1"/>
  <c r="S33" i="1"/>
  <c r="T33" i="1"/>
  <c r="Q33" i="1"/>
  <c r="Q35" i="1" s="1"/>
  <c r="K33" i="1"/>
  <c r="L33" i="1"/>
  <c r="M33" i="1"/>
  <c r="N33" i="1"/>
  <c r="O33" i="1"/>
  <c r="P33" i="1"/>
  <c r="J33" i="1"/>
  <c r="R31" i="1"/>
  <c r="S31" i="1"/>
  <c r="T31" i="1"/>
  <c r="Q31" i="1"/>
  <c r="K31" i="1"/>
  <c r="L31" i="1"/>
  <c r="M31" i="1"/>
  <c r="N31" i="1"/>
  <c r="O31" i="1"/>
  <c r="P31" i="1"/>
  <c r="J31" i="1"/>
  <c r="J34" i="1"/>
  <c r="J32" i="1"/>
  <c r="K32" i="1"/>
  <c r="L32" i="1"/>
  <c r="M32" i="1"/>
  <c r="T30" i="1"/>
  <c r="S30" i="1"/>
  <c r="R30" i="1"/>
  <c r="K29" i="1"/>
  <c r="Q30" i="1"/>
  <c r="U30" i="1"/>
  <c r="K30" i="1"/>
  <c r="L30" i="1"/>
  <c r="M30" i="1"/>
  <c r="N30" i="1"/>
  <c r="O30" i="1"/>
  <c r="P30" i="1"/>
  <c r="J30" i="1"/>
  <c r="U28" i="1"/>
  <c r="P28" i="1"/>
  <c r="O28" i="1"/>
  <c r="N28" i="1"/>
  <c r="M28" i="1"/>
  <c r="L28" i="1"/>
  <c r="K28" i="1"/>
  <c r="J28" i="2"/>
  <c r="J30" i="2"/>
  <c r="F21" i="3"/>
  <c r="C21" i="3"/>
  <c r="F20" i="3"/>
  <c r="C20" i="3"/>
  <c r="F21" i="2"/>
  <c r="C21" i="2"/>
  <c r="F20" i="2"/>
  <c r="C20" i="2"/>
  <c r="T29" i="1"/>
  <c r="K26" i="1"/>
  <c r="J26" i="1"/>
  <c r="K7" i="7"/>
  <c r="K7" i="4"/>
  <c r="K7" i="6"/>
  <c r="K7" i="3"/>
  <c r="K7" i="2"/>
  <c r="K8" i="1"/>
  <c r="Q32" i="7"/>
  <c r="P32" i="7"/>
  <c r="N32" i="7"/>
  <c r="M32" i="7"/>
  <c r="K32" i="7"/>
  <c r="J32" i="7"/>
  <c r="U32" i="7"/>
  <c r="R32" i="7"/>
  <c r="O32" i="7"/>
  <c r="T26" i="7"/>
  <c r="T27" i="7" s="1"/>
  <c r="T28" i="7" s="1"/>
  <c r="T29" i="7" s="1"/>
  <c r="T30" i="7" s="1"/>
  <c r="T31" i="7" s="1"/>
  <c r="T32" i="7" s="1"/>
  <c r="L34" i="7"/>
  <c r="P34" i="7"/>
  <c r="Q34" i="7"/>
  <c r="S34" i="7"/>
  <c r="L32" i="7"/>
  <c r="S32" i="7"/>
  <c r="L30" i="7"/>
  <c r="K30" i="7"/>
  <c r="J30" i="7"/>
  <c r="U34" i="4"/>
  <c r="R34" i="4"/>
  <c r="S34" i="4"/>
  <c r="T34" i="4"/>
  <c r="K34" i="4"/>
  <c r="Q34" i="4"/>
  <c r="L34" i="4"/>
  <c r="M34" i="4"/>
  <c r="N34" i="4"/>
  <c r="O34" i="4"/>
  <c r="P34" i="4"/>
  <c r="J34" i="4"/>
  <c r="N32" i="4"/>
  <c r="M32" i="4"/>
  <c r="L32" i="4"/>
  <c r="K32" i="4"/>
  <c r="J32" i="4"/>
  <c r="T32" i="4"/>
  <c r="U32" i="4"/>
  <c r="Q34" i="6"/>
  <c r="Q32" i="4"/>
  <c r="Q30" i="6"/>
  <c r="U26" i="4"/>
  <c r="J28" i="7"/>
  <c r="J29" i="7" s="1"/>
  <c r="J31" i="7" s="1"/>
  <c r="U26" i="7"/>
  <c r="U27" i="7" s="1"/>
  <c r="U28" i="7" s="1"/>
  <c r="U29" i="7" s="1"/>
  <c r="U30" i="7" s="1"/>
  <c r="U31" i="7" s="1"/>
  <c r="R26" i="7"/>
  <c r="R27" i="7" s="1"/>
  <c r="R28" i="7" s="1"/>
  <c r="R29" i="7" s="1"/>
  <c r="R30" i="7" s="1"/>
  <c r="R31" i="7" s="1"/>
  <c r="O26" i="7"/>
  <c r="O27" i="7" s="1"/>
  <c r="O28" i="7" s="1"/>
  <c r="O29" i="7" s="1"/>
  <c r="O30" i="7" s="1"/>
  <c r="O31" i="7" s="1"/>
  <c r="L26" i="7"/>
  <c r="L27" i="7" s="1"/>
  <c r="L28" i="7" s="1"/>
  <c r="L29" i="7" s="1"/>
  <c r="L31" i="7" s="1"/>
  <c r="J26" i="7"/>
  <c r="J27" i="7" s="1"/>
  <c r="F21" i="7"/>
  <c r="C21" i="7"/>
  <c r="F20" i="7"/>
  <c r="C20" i="7"/>
  <c r="J26" i="6"/>
  <c r="K26" i="6" s="1"/>
  <c r="F21" i="6"/>
  <c r="C21" i="6"/>
  <c r="F20" i="6"/>
  <c r="C20" i="6"/>
  <c r="U27" i="4"/>
  <c r="U28" i="4" s="1"/>
  <c r="U29" i="4" s="1"/>
  <c r="U30" i="4" s="1"/>
  <c r="U31" i="4" s="1"/>
  <c r="T26" i="4"/>
  <c r="T27" i="4" s="1"/>
  <c r="T28" i="4" s="1"/>
  <c r="T29" i="4" s="1"/>
  <c r="T30" i="4" s="1"/>
  <c r="T31" i="4" s="1"/>
  <c r="S26" i="4"/>
  <c r="S27" i="4" s="1"/>
  <c r="S28" i="4" s="1"/>
  <c r="S29" i="4" s="1"/>
  <c r="S30" i="4" s="1"/>
  <c r="S31" i="4" s="1"/>
  <c r="R26" i="4"/>
  <c r="R27" i="4" s="1"/>
  <c r="R28" i="4" s="1"/>
  <c r="R29" i="4" s="1"/>
  <c r="R30" i="4" s="1"/>
  <c r="R31" i="4" s="1"/>
  <c r="Q26" i="4"/>
  <c r="Q27" i="4" s="1"/>
  <c r="Q28" i="4" s="1"/>
  <c r="Q29" i="4" s="1"/>
  <c r="Q30" i="4" s="1"/>
  <c r="Q31" i="4" s="1"/>
  <c r="J26" i="4"/>
  <c r="K26" i="4" s="1"/>
  <c r="F21" i="4"/>
  <c r="C21" i="4"/>
  <c r="F20" i="4"/>
  <c r="C20" i="4"/>
  <c r="J26" i="3"/>
  <c r="J27" i="3" s="1"/>
  <c r="J28" i="3" s="1"/>
  <c r="J29" i="3" s="1"/>
  <c r="J26" i="2"/>
  <c r="J27" i="2" s="1"/>
  <c r="J29" i="2" s="1"/>
  <c r="J31" i="2" s="1"/>
  <c r="J33" i="2" s="1"/>
  <c r="J34" i="2" s="1"/>
  <c r="J35" i="2" s="1"/>
  <c r="J36" i="2" s="1"/>
  <c r="J27" i="1"/>
  <c r="J28" i="1" s="1"/>
  <c r="F21" i="1"/>
  <c r="C21" i="1"/>
  <c r="C20" i="1"/>
  <c r="F20" i="1"/>
  <c r="U32" i="3" l="1"/>
  <c r="S32" i="3" s="1"/>
  <c r="T32" i="3" s="1"/>
  <c r="K33" i="3"/>
  <c r="K34" i="3" s="1"/>
  <c r="T33" i="3"/>
  <c r="T34" i="3" s="1"/>
  <c r="T35" i="3" s="1"/>
  <c r="T36" i="3" s="1"/>
  <c r="M32" i="3"/>
  <c r="P32" i="3"/>
  <c r="Q32" i="3" s="1"/>
  <c r="J31" i="3"/>
  <c r="J33" i="3" s="1"/>
  <c r="P33" i="3"/>
  <c r="P34" i="3" s="1"/>
  <c r="P35" i="3" s="1"/>
  <c r="P36" i="3" s="1"/>
  <c r="S33" i="3"/>
  <c r="S34" i="3" s="1"/>
  <c r="S35" i="3" s="1"/>
  <c r="S36" i="3" s="1"/>
  <c r="Q33" i="3"/>
  <c r="Q34" i="3" s="1"/>
  <c r="S33" i="2"/>
  <c r="S34" i="2" s="1"/>
  <c r="S35" i="2" s="1"/>
  <c r="S36" i="2" s="1"/>
  <c r="O28" i="2"/>
  <c r="N29" i="2"/>
  <c r="N33" i="2" s="1"/>
  <c r="N34" i="2" s="1"/>
  <c r="N35" i="2" s="1"/>
  <c r="N36" i="2" s="1"/>
  <c r="N37" i="2" s="1"/>
  <c r="M29" i="2"/>
  <c r="M33" i="2" s="1"/>
  <c r="M34" i="2" s="1"/>
  <c r="M35" i="2" s="1"/>
  <c r="M36" i="2" s="1"/>
  <c r="M37" i="2" s="1"/>
  <c r="J34" i="3"/>
  <c r="J35" i="3" s="1"/>
  <c r="J36" i="3" s="1"/>
  <c r="J37" i="3" s="1"/>
  <c r="J33" i="7"/>
  <c r="K26" i="7"/>
  <c r="K27" i="6"/>
  <c r="K28" i="6" s="1"/>
  <c r="K29" i="6" s="1"/>
  <c r="K30" i="6" s="1"/>
  <c r="K31" i="6" s="1"/>
  <c r="K32" i="6" s="1"/>
  <c r="K33" i="6" s="1"/>
  <c r="K34" i="6" s="1"/>
  <c r="K35" i="6" s="1"/>
  <c r="K36" i="6" s="1"/>
  <c r="L26" i="6"/>
  <c r="J27" i="6"/>
  <c r="J28" i="6" s="1"/>
  <c r="J29" i="6" s="1"/>
  <c r="J30" i="6" s="1"/>
  <c r="J31" i="6" s="1"/>
  <c r="J32" i="6" s="1"/>
  <c r="J33" i="6" s="1"/>
  <c r="J34" i="6" s="1"/>
  <c r="J35" i="6" s="1"/>
  <c r="J36" i="6" s="1"/>
  <c r="K27" i="4"/>
  <c r="K28" i="4" s="1"/>
  <c r="K29" i="4" s="1"/>
  <c r="K30" i="4" s="1"/>
  <c r="K31" i="4" s="1"/>
  <c r="K33" i="4" s="1"/>
  <c r="K35" i="4" s="1"/>
  <c r="K36" i="4" s="1"/>
  <c r="L26" i="4"/>
  <c r="J27" i="4"/>
  <c r="J28" i="4" s="1"/>
  <c r="J29" i="4" s="1"/>
  <c r="J30" i="4" s="1"/>
  <c r="J31" i="4" s="1"/>
  <c r="J33" i="4" s="1"/>
  <c r="J35" i="4" s="1"/>
  <c r="J36" i="4" s="1"/>
  <c r="J29" i="1"/>
  <c r="K27" i="1"/>
  <c r="K35" i="3" l="1"/>
  <c r="K36" i="3" s="1"/>
  <c r="K37" i="3" s="1"/>
  <c r="O34" i="3"/>
  <c r="O35" i="3" s="1"/>
  <c r="O36" i="3" s="1"/>
  <c r="Q35" i="3"/>
  <c r="Q36" i="3" s="1"/>
  <c r="U34" i="3"/>
  <c r="M33" i="3"/>
  <c r="M34" i="3" s="1"/>
  <c r="M35" i="3" s="1"/>
  <c r="M36" i="3" s="1"/>
  <c r="M37" i="3" s="1"/>
  <c r="N32" i="3"/>
  <c r="N33" i="3" s="1"/>
  <c r="N34" i="3" s="1"/>
  <c r="U33" i="3"/>
  <c r="U35" i="3" s="1"/>
  <c r="U36" i="3" s="1"/>
  <c r="O29" i="2"/>
  <c r="O30" i="2" s="1"/>
  <c r="O33" i="2" s="1"/>
  <c r="O34" i="2" s="1"/>
  <c r="O35" i="2" s="1"/>
  <c r="O36" i="2" s="1"/>
  <c r="O37" i="2" s="1"/>
  <c r="P29" i="2"/>
  <c r="P30" i="2" s="1"/>
  <c r="P33" i="2" s="1"/>
  <c r="P34" i="2" s="1"/>
  <c r="P35" i="2" s="1"/>
  <c r="P36" i="2" s="1"/>
  <c r="P37" i="2" s="1"/>
  <c r="J36" i="1"/>
  <c r="J34" i="7"/>
  <c r="J35" i="7" s="1"/>
  <c r="J36" i="7" s="1"/>
  <c r="K27" i="7"/>
  <c r="K28" i="7" s="1"/>
  <c r="K29" i="7" s="1"/>
  <c r="K31" i="7" s="1"/>
  <c r="M26" i="7"/>
  <c r="M26" i="6"/>
  <c r="L27" i="6"/>
  <c r="L28" i="6" s="1"/>
  <c r="L29" i="6" s="1"/>
  <c r="L30" i="6" s="1"/>
  <c r="L31" i="6" s="1"/>
  <c r="L32" i="6" s="1"/>
  <c r="L33" i="6" s="1"/>
  <c r="L34" i="6" s="1"/>
  <c r="L35" i="6" s="1"/>
  <c r="L36" i="6" s="1"/>
  <c r="L27" i="4"/>
  <c r="L28" i="4" s="1"/>
  <c r="L29" i="4" s="1"/>
  <c r="L30" i="4" s="1"/>
  <c r="L31" i="4" s="1"/>
  <c r="L33" i="4" s="1"/>
  <c r="L35" i="4" s="1"/>
  <c r="L36" i="4" s="1"/>
  <c r="M26" i="4"/>
  <c r="L26" i="1"/>
  <c r="L27" i="1" s="1"/>
  <c r="N35" i="3" l="1"/>
  <c r="N36" i="3" s="1"/>
  <c r="R34" i="3"/>
  <c r="R35" i="3" s="1"/>
  <c r="R36" i="3" s="1"/>
  <c r="M27" i="7"/>
  <c r="M28" i="7" s="1"/>
  <c r="M29" i="7" s="1"/>
  <c r="M30" i="7" s="1"/>
  <c r="M31" i="7" s="1"/>
  <c r="N26" i="7"/>
  <c r="K33" i="7"/>
  <c r="K34" i="7" s="1"/>
  <c r="M27" i="6"/>
  <c r="M28" i="6" s="1"/>
  <c r="M29" i="6" s="1"/>
  <c r="M30" i="6" s="1"/>
  <c r="M31" i="6" s="1"/>
  <c r="M32" i="6" s="1"/>
  <c r="M33" i="6" s="1"/>
  <c r="M34" i="6" s="1"/>
  <c r="M35" i="6" s="1"/>
  <c r="M36" i="6" s="1"/>
  <c r="N26" i="6"/>
  <c r="M27" i="4"/>
  <c r="M28" i="4" s="1"/>
  <c r="M29" i="4" s="1"/>
  <c r="M30" i="4" s="1"/>
  <c r="M31" i="4" s="1"/>
  <c r="M33" i="4" s="1"/>
  <c r="M35" i="4" s="1"/>
  <c r="M36" i="4" s="1"/>
  <c r="N26" i="4"/>
  <c r="M26" i="1"/>
  <c r="M27" i="1" s="1"/>
  <c r="L29" i="1"/>
  <c r="K34" i="1" l="1"/>
  <c r="K36" i="1" s="1"/>
  <c r="L33" i="7"/>
  <c r="K35" i="7"/>
  <c r="K36" i="7" s="1"/>
  <c r="N27" i="7"/>
  <c r="N28" i="7" s="1"/>
  <c r="N29" i="7" s="1"/>
  <c r="N30" i="7" s="1"/>
  <c r="N31" i="7" s="1"/>
  <c r="P26" i="7"/>
  <c r="N27" i="6"/>
  <c r="N28" i="6" s="1"/>
  <c r="N29" i="6" s="1"/>
  <c r="N30" i="6" s="1"/>
  <c r="N31" i="6" s="1"/>
  <c r="N32" i="6" s="1"/>
  <c r="N33" i="6" s="1"/>
  <c r="N34" i="6" s="1"/>
  <c r="N35" i="6" s="1"/>
  <c r="N36" i="6" s="1"/>
  <c r="O26" i="6"/>
  <c r="N27" i="4"/>
  <c r="N28" i="4" s="1"/>
  <c r="N29" i="4" s="1"/>
  <c r="N30" i="4" s="1"/>
  <c r="N31" i="4" s="1"/>
  <c r="N33" i="4" s="1"/>
  <c r="N35" i="4" s="1"/>
  <c r="N36" i="4" s="1"/>
  <c r="O26" i="4"/>
  <c r="N26" i="1"/>
  <c r="N27" i="1" s="1"/>
  <c r="N29" i="1" s="1"/>
  <c r="M29" i="1"/>
  <c r="L34" i="1" l="1"/>
  <c r="L36" i="1" s="1"/>
  <c r="P27" i="7"/>
  <c r="P28" i="7" s="1"/>
  <c r="P29" i="7" s="1"/>
  <c r="P30" i="7" s="1"/>
  <c r="P31" i="7" s="1"/>
  <c r="Q26" i="7"/>
  <c r="L35" i="7"/>
  <c r="L36" i="7" s="1"/>
  <c r="M33" i="7"/>
  <c r="M34" i="7" s="1"/>
  <c r="M35" i="7" s="1"/>
  <c r="M36" i="7" s="1"/>
  <c r="P26" i="6"/>
  <c r="O27" i="6"/>
  <c r="O28" i="6" s="1"/>
  <c r="O29" i="6" s="1"/>
  <c r="O30" i="6" s="1"/>
  <c r="O31" i="6" s="1"/>
  <c r="O32" i="6" s="1"/>
  <c r="O33" i="6" s="1"/>
  <c r="O34" i="6" s="1"/>
  <c r="O35" i="6" s="1"/>
  <c r="O36" i="6" s="1"/>
  <c r="P26" i="4"/>
  <c r="P27" i="4" s="1"/>
  <c r="P28" i="4" s="1"/>
  <c r="P29" i="4" s="1"/>
  <c r="P30" i="4" s="1"/>
  <c r="P31" i="4" s="1"/>
  <c r="P32" i="4" s="1"/>
  <c r="O27" i="4"/>
  <c r="O28" i="4" s="1"/>
  <c r="O29" i="4" s="1"/>
  <c r="O30" i="4" s="1"/>
  <c r="O31" i="4" s="1"/>
  <c r="O32" i="4" s="1"/>
  <c r="O33" i="4" s="1"/>
  <c r="O35" i="4" s="1"/>
  <c r="O36" i="4" s="1"/>
  <c r="O26" i="1"/>
  <c r="O27" i="1" s="1"/>
  <c r="M34" i="1" l="1"/>
  <c r="M36" i="1" s="1"/>
  <c r="N33" i="7"/>
  <c r="N34" i="7" s="1"/>
  <c r="Q27" i="7"/>
  <c r="Q28" i="7" s="1"/>
  <c r="Q29" i="7" s="1"/>
  <c r="Q30" i="7" s="1"/>
  <c r="Q31" i="7" s="1"/>
  <c r="S26" i="7"/>
  <c r="S27" i="7" s="1"/>
  <c r="S28" i="7" s="1"/>
  <c r="S29" i="7" s="1"/>
  <c r="S30" i="7" s="1"/>
  <c r="S31" i="7" s="1"/>
  <c r="P27" i="6"/>
  <c r="P28" i="6" s="1"/>
  <c r="P29" i="6" s="1"/>
  <c r="P30" i="6" s="1"/>
  <c r="P31" i="6" s="1"/>
  <c r="P32" i="6" s="1"/>
  <c r="Q26" i="6"/>
  <c r="P33" i="4"/>
  <c r="P26" i="1"/>
  <c r="O29" i="1"/>
  <c r="N35" i="1" l="1"/>
  <c r="N36" i="1" s="1"/>
  <c r="N37" i="3"/>
  <c r="P27" i="1"/>
  <c r="P29" i="1" s="1"/>
  <c r="Q26" i="1"/>
  <c r="N35" i="7"/>
  <c r="N36" i="7" s="1"/>
  <c r="O33" i="7"/>
  <c r="O34" i="7" s="1"/>
  <c r="O35" i="7" s="1"/>
  <c r="O36" i="7" s="1"/>
  <c r="P37" i="3"/>
  <c r="P33" i="6"/>
  <c r="P34" i="6" s="1"/>
  <c r="Q32" i="6"/>
  <c r="Q27" i="6"/>
  <c r="Q28" i="6" s="1"/>
  <c r="Q29" i="6" s="1"/>
  <c r="Q31" i="6" s="1"/>
  <c r="R26" i="6"/>
  <c r="P35" i="4"/>
  <c r="P36" i="4" s="1"/>
  <c r="Q33" i="4"/>
  <c r="R32" i="4"/>
  <c r="O35" i="1" l="1"/>
  <c r="Q27" i="1"/>
  <c r="Q28" i="1" s="1"/>
  <c r="Q29" i="1" s="1"/>
  <c r="R26" i="1"/>
  <c r="P33" i="7"/>
  <c r="P35" i="7" s="1"/>
  <c r="P36" i="7" s="1"/>
  <c r="R27" i="6"/>
  <c r="R28" i="6" s="1"/>
  <c r="R29" i="6" s="1"/>
  <c r="R30" i="6" s="1"/>
  <c r="R31" i="6" s="1"/>
  <c r="S26" i="6"/>
  <c r="Q33" i="6"/>
  <c r="R32" i="6"/>
  <c r="P35" i="6"/>
  <c r="P36" i="6" s="1"/>
  <c r="R33" i="4"/>
  <c r="S32" i="4"/>
  <c r="R35" i="4"/>
  <c r="R36" i="4" s="1"/>
  <c r="Q35" i="4"/>
  <c r="Q36" i="4" s="1"/>
  <c r="S37" i="3"/>
  <c r="O36" i="1" l="1"/>
  <c r="Q37" i="3"/>
  <c r="S26" i="1"/>
  <c r="R27" i="1"/>
  <c r="R28" i="1" s="1"/>
  <c r="R29" i="1" s="1"/>
  <c r="Q33" i="7"/>
  <c r="Q35" i="6"/>
  <c r="Q36" i="6" s="1"/>
  <c r="R34" i="6"/>
  <c r="R35" i="6" s="1"/>
  <c r="R36" i="6" s="1"/>
  <c r="S27" i="6"/>
  <c r="S28" i="6" s="1"/>
  <c r="S29" i="6" s="1"/>
  <c r="S30" i="6" s="1"/>
  <c r="S31" i="6" s="1"/>
  <c r="T26" i="6"/>
  <c r="R33" i="6"/>
  <c r="S32" i="6"/>
  <c r="S33" i="6" s="1"/>
  <c r="S34" i="6" s="1"/>
  <c r="S35" i="6" s="1"/>
  <c r="S36" i="6" s="1"/>
  <c r="S33" i="4"/>
  <c r="S35" i="4" s="1"/>
  <c r="S36" i="4" s="1"/>
  <c r="O37" i="3"/>
  <c r="P34" i="1" l="1"/>
  <c r="R37" i="2"/>
  <c r="Q37" i="2"/>
  <c r="R34" i="1"/>
  <c r="R35" i="1" s="1"/>
  <c r="R36" i="1" s="1"/>
  <c r="S27" i="1"/>
  <c r="S28" i="1" s="1"/>
  <c r="S29" i="1" s="1"/>
  <c r="T26" i="1"/>
  <c r="Q36" i="1"/>
  <c r="Q35" i="7"/>
  <c r="Q36" i="7" s="1"/>
  <c r="R33" i="7"/>
  <c r="R34" i="7" s="1"/>
  <c r="R35" i="7" s="1"/>
  <c r="R36" i="7" s="1"/>
  <c r="T27" i="6"/>
  <c r="T28" i="6" s="1"/>
  <c r="T29" i="6" s="1"/>
  <c r="T30" i="6" s="1"/>
  <c r="T31" i="6" s="1"/>
  <c r="T32" i="6" s="1"/>
  <c r="T33" i="6" s="1"/>
  <c r="T34" i="6" s="1"/>
  <c r="T35" i="6" s="1"/>
  <c r="T36" i="6" s="1"/>
  <c r="U26" i="6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3" i="4"/>
  <c r="U35" i="4" s="1"/>
  <c r="U36" i="4" s="1"/>
  <c r="T33" i="4"/>
  <c r="T35" i="4" s="1"/>
  <c r="T36" i="4" s="1"/>
  <c r="S37" i="2"/>
  <c r="P35" i="1" l="1"/>
  <c r="P36" i="1" s="1"/>
  <c r="S35" i="1"/>
  <c r="S36" i="1" s="1"/>
  <c r="U26" i="1"/>
  <c r="T27" i="1"/>
  <c r="T28" i="1" s="1"/>
  <c r="S33" i="7"/>
  <c r="S35" i="7" s="1"/>
  <c r="S36" i="7" s="1"/>
  <c r="R37" i="3"/>
  <c r="U37" i="2"/>
  <c r="T37" i="2"/>
  <c r="J38" i="2" l="1"/>
  <c r="U33" i="7"/>
  <c r="U34" i="7" s="1"/>
  <c r="T33" i="7"/>
  <c r="T34" i="7" s="1"/>
  <c r="U27" i="1"/>
  <c r="U29" i="1" s="1"/>
  <c r="U31" i="1" s="1"/>
  <c r="T37" i="3" l="1"/>
  <c r="U37" i="3"/>
  <c r="U33" i="1"/>
  <c r="U34" i="1" s="1"/>
  <c r="U35" i="7"/>
  <c r="U36" i="7" s="1"/>
  <c r="T35" i="7"/>
  <c r="T36" i="7" s="1"/>
  <c r="J40" i="3" l="1"/>
  <c r="J45" i="3"/>
  <c r="J46" i="3"/>
  <c r="J42" i="3"/>
  <c r="J41" i="3"/>
  <c r="J44" i="3"/>
  <c r="J43" i="3"/>
  <c r="J38" i="3"/>
  <c r="J48" i="3" s="1"/>
  <c r="J39" i="3"/>
  <c r="T35" i="1"/>
  <c r="T36" i="1" s="1"/>
  <c r="U35" i="1"/>
  <c r="U36" i="1" s="1"/>
</calcChain>
</file>

<file path=xl/sharedStrings.xml><?xml version="1.0" encoding="utf-8"?>
<sst xmlns="http://schemas.openxmlformats.org/spreadsheetml/2006/main" count="618" uniqueCount="82">
  <si>
    <t>공병트럭</t>
    <phoneticPr fontId="2" type="noConversion"/>
  </si>
  <si>
    <t>공차트럭</t>
    <phoneticPr fontId="2" type="noConversion"/>
  </si>
  <si>
    <t>입차대기</t>
    <phoneticPr fontId="2" type="noConversion"/>
  </si>
  <si>
    <t>제품상차</t>
    <phoneticPr fontId="2" type="noConversion"/>
  </si>
  <si>
    <t>이동</t>
    <phoneticPr fontId="2" type="noConversion"/>
  </si>
  <si>
    <t>선전품상차</t>
    <phoneticPr fontId="2" type="noConversion"/>
  </si>
  <si>
    <t>출하캐노피</t>
    <phoneticPr fontId="2" type="noConversion"/>
  </si>
  <si>
    <t>출고검사 및 전표</t>
    <phoneticPr fontId="2" type="noConversion"/>
  </si>
  <si>
    <t>검수(공병하차대기)</t>
    <phoneticPr fontId="2" type="noConversion"/>
  </si>
  <si>
    <t>공병하차</t>
    <phoneticPr fontId="2" type="noConversion"/>
  </si>
  <si>
    <t>CO2</t>
    <phoneticPr fontId="2" type="noConversion"/>
  </si>
  <si>
    <t>기존</t>
    <phoneticPr fontId="2" type="noConversion"/>
  </si>
  <si>
    <t>상차(1h)</t>
    <phoneticPr fontId="2" type="noConversion"/>
  </si>
  <si>
    <t>하차(1h)</t>
    <phoneticPr fontId="2" type="noConversion"/>
  </si>
  <si>
    <t>8대</t>
    <phoneticPr fontId="2" type="noConversion"/>
  </si>
  <si>
    <t>12대</t>
    <phoneticPr fontId="2" type="noConversion"/>
  </si>
  <si>
    <t>기존안</t>
    <phoneticPr fontId="2" type="noConversion"/>
  </si>
  <si>
    <t>이후 공차 4대</t>
    <phoneticPr fontId="2" type="noConversion"/>
  </si>
  <si>
    <t>개선안</t>
    <phoneticPr fontId="2" type="noConversion"/>
  </si>
  <si>
    <t>공병+공차 섞어</t>
    <phoneticPr fontId="2" type="noConversion"/>
  </si>
  <si>
    <t>배차간격</t>
    <phoneticPr fontId="2" type="noConversion"/>
  </si>
  <si>
    <t>5분</t>
    <phoneticPr fontId="2" type="noConversion"/>
  </si>
  <si>
    <t>total</t>
    <phoneticPr fontId="2" type="noConversion"/>
  </si>
  <si>
    <t>10분</t>
    <phoneticPr fontId="2" type="noConversion"/>
  </si>
  <si>
    <t>이후</t>
    <phoneticPr fontId="2" type="noConversion"/>
  </si>
  <si>
    <t>공병 7대 먼저</t>
    <phoneticPr fontId="2" type="noConversion"/>
  </si>
  <si>
    <t>이후 공병 1대</t>
    <phoneticPr fontId="2" type="noConversion"/>
  </si>
  <si>
    <t>입차</t>
    <phoneticPr fontId="2" type="noConversion"/>
  </si>
  <si>
    <t>입차대기 제외</t>
    <phoneticPr fontId="2" type="noConversion"/>
  </si>
  <si>
    <t>끝나는 시간 기준임</t>
    <phoneticPr fontId="2" type="noConversion"/>
  </si>
  <si>
    <t>하차 동시에 최대:</t>
    <phoneticPr fontId="2" type="noConversion"/>
  </si>
  <si>
    <t>상차 동시에 최대:</t>
    <phoneticPr fontId="2" type="noConversion"/>
  </si>
  <si>
    <t>1대</t>
    <phoneticPr fontId="2" type="noConversion"/>
  </si>
  <si>
    <t>3대</t>
    <phoneticPr fontId="2" type="noConversion"/>
  </si>
  <si>
    <t>개선 : 공차 공병하차 대기 제외</t>
    <phoneticPr fontId="2" type="noConversion"/>
  </si>
  <si>
    <t>개선 : 공차 공병하차 대기 제외+순서변경</t>
    <phoneticPr fontId="2" type="noConversion"/>
  </si>
  <si>
    <t>4대</t>
    <phoneticPr fontId="2" type="noConversion"/>
  </si>
  <si>
    <t>처리</t>
    <phoneticPr fontId="2" type="noConversion"/>
  </si>
  <si>
    <t>동시</t>
    <phoneticPr fontId="2" type="noConversion"/>
  </si>
  <si>
    <t>4대</t>
    <phoneticPr fontId="2" type="noConversion"/>
  </si>
  <si>
    <t>대당</t>
    <phoneticPr fontId="2" type="noConversion"/>
  </si>
  <si>
    <t>20분</t>
    <phoneticPr fontId="2" type="noConversion"/>
  </si>
  <si>
    <t>1대</t>
    <phoneticPr fontId="2" type="noConversion"/>
  </si>
  <si>
    <t>상차 공통</t>
    <phoneticPr fontId="2" type="noConversion"/>
  </si>
  <si>
    <t>공병</t>
    <phoneticPr fontId="2" type="noConversion"/>
  </si>
  <si>
    <t>공차</t>
    <phoneticPr fontId="2" type="noConversion"/>
  </si>
  <si>
    <t>CO2 순서</t>
    <phoneticPr fontId="2" type="noConversion"/>
  </si>
  <si>
    <t>소요시간</t>
    <phoneticPr fontId="2" type="noConversion"/>
  </si>
  <si>
    <t>평균소요시간</t>
    <phoneticPr fontId="2" type="noConversion"/>
  </si>
  <si>
    <t>공차평균소요시간</t>
    <phoneticPr fontId="2" type="noConversion"/>
  </si>
  <si>
    <t>평균소요시간 개선</t>
    <phoneticPr fontId="2" type="noConversion"/>
  </si>
  <si>
    <t>공차평균소요시간개선</t>
    <phoneticPr fontId="2" type="noConversion"/>
  </si>
  <si>
    <t>공병</t>
    <phoneticPr fontId="2" type="noConversion"/>
  </si>
  <si>
    <t>공차</t>
    <phoneticPr fontId="2" type="noConversion"/>
  </si>
  <si>
    <t>선전품 순서</t>
    <phoneticPr fontId="2" type="noConversion"/>
  </si>
  <si>
    <t>공병평균소요시간</t>
    <phoneticPr fontId="2" type="noConversion"/>
  </si>
  <si>
    <t>MAX time</t>
    <phoneticPr fontId="2" type="noConversion"/>
  </si>
  <si>
    <t>MIN time</t>
    <phoneticPr fontId="2" type="noConversion"/>
  </si>
  <si>
    <t>공차 MAX time</t>
    <phoneticPr fontId="2" type="noConversion"/>
  </si>
  <si>
    <t>공차 MIN time</t>
    <phoneticPr fontId="2" type="noConversion"/>
  </si>
  <si>
    <t>공병 MAX time</t>
    <phoneticPr fontId="2" type="noConversion"/>
  </si>
  <si>
    <t>공병 MIN time</t>
    <phoneticPr fontId="2" type="noConversion"/>
  </si>
  <si>
    <t>공병평균소요시간개선</t>
    <phoneticPr fontId="2" type="noConversion"/>
  </si>
  <si>
    <t>-0:01</t>
    <phoneticPr fontId="2" type="noConversion"/>
  </si>
  <si>
    <t>1분 증가</t>
    <phoneticPr fontId="2" type="noConversion"/>
  </si>
  <si>
    <t>1분 개선</t>
    <phoneticPr fontId="2" type="noConversion"/>
  </si>
  <si>
    <t>7분 개선</t>
    <phoneticPr fontId="2" type="noConversion"/>
  </si>
  <si>
    <t>8분 개선</t>
    <phoneticPr fontId="2" type="noConversion"/>
  </si>
  <si>
    <t>10분 개선</t>
    <phoneticPr fontId="2" type="noConversion"/>
  </si>
  <si>
    <t>16분 개선</t>
    <phoneticPr fontId="2" type="noConversion"/>
  </si>
  <si>
    <t>MAX time 개선</t>
  </si>
  <si>
    <t>MIN time 개선</t>
  </si>
  <si>
    <t>공차 MAX time 개선</t>
  </si>
  <si>
    <t>공차 MIN time 개선</t>
  </si>
  <si>
    <t>공병 MAX time 개선</t>
  </si>
  <si>
    <t>공병 MIN time 개선</t>
  </si>
  <si>
    <t>-0:03</t>
    <phoneticPr fontId="2" type="noConversion"/>
  </si>
  <si>
    <t>3분 증가</t>
    <phoneticPr fontId="2" type="noConversion"/>
  </si>
  <si>
    <t>-</t>
    <phoneticPr fontId="2" type="noConversion"/>
  </si>
  <si>
    <t>22분 개선</t>
    <phoneticPr fontId="2" type="noConversion"/>
  </si>
  <si>
    <t>5분 개선</t>
    <phoneticPr fontId="2" type="noConversion"/>
  </si>
  <si>
    <t>6분 개선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</si>
</sst>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6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20" fontId="1" fillId="5" borderId="0" xfId="0" applyNumberFormat="1" applyFont="1" applyFill="1" applyAlignment="1">
      <alignment horizontal="center" vertical="center"/>
    </xf>
    <xf numFmtId="20" fontId="3" fillId="5" borderId="0" xfId="0" applyNumberFormat="1" applyFont="1" applyFill="1" applyAlignment="1">
      <alignment horizontal="center" vertical="center"/>
    </xf>
    <xf numFmtId="20" fontId="1" fillId="6" borderId="0" xfId="0" applyNumberFormat="1" applyFont="1" applyFill="1" applyAlignment="1">
      <alignment horizontal="center" vertical="center"/>
    </xf>
    <xf numFmtId="20" fontId="3" fillId="6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20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D911-DACB-40F1-AFDF-AD7DA92C59E5}">
  <dimension ref="B5:X60"/>
  <sheetViews>
    <sheetView topLeftCell="A8" zoomScale="54" zoomScaleNormal="80" workbookViewId="0">
      <selection activeCell="W48" sqref="W48:X60"/>
    </sheetView>
  </sheetViews>
  <sheetFormatPr defaultRowHeight="17.600000000000001" x14ac:dyDescent="0.55000000000000004"/>
  <cols>
    <col min="2" max="2" width="17.640625" bestFit="1" customWidth="1"/>
    <col min="5" max="5" width="17.640625" bestFit="1" customWidth="1"/>
    <col min="7" max="7" width="18.0703125" bestFit="1" customWidth="1"/>
    <col min="9" max="9" width="18.0703125" bestFit="1" customWidth="1"/>
    <col min="11" max="11" width="14.35546875" bestFit="1" customWidth="1"/>
    <col min="13" max="13" width="14.85546875" bestFit="1" customWidth="1"/>
    <col min="23" max="23" width="16.2109375" bestFit="1" customWidth="1"/>
  </cols>
  <sheetData>
    <row r="5" spans="2:21" x14ac:dyDescent="0.55000000000000004">
      <c r="G5" s="1"/>
      <c r="H5" s="1"/>
      <c r="I5" s="1"/>
      <c r="P5" s="1"/>
      <c r="Q5" s="1"/>
      <c r="R5" s="1"/>
      <c r="S5" s="1"/>
      <c r="T5" s="1"/>
      <c r="U5" s="1"/>
    </row>
    <row r="6" spans="2:21" x14ac:dyDescent="0.55000000000000004">
      <c r="B6" s="15" t="s">
        <v>11</v>
      </c>
      <c r="C6" s="15"/>
      <c r="D6" s="15"/>
      <c r="E6" s="15"/>
      <c r="F6" s="15"/>
      <c r="G6" s="1"/>
      <c r="H6" s="1"/>
      <c r="I6" s="1" t="s">
        <v>37</v>
      </c>
      <c r="J6" s="1" t="s">
        <v>38</v>
      </c>
      <c r="K6" s="1" t="s">
        <v>40</v>
      </c>
      <c r="L6" s="1"/>
      <c r="P6" s="1"/>
      <c r="Q6" s="1"/>
      <c r="R6" s="1"/>
      <c r="S6" s="1"/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12</v>
      </c>
      <c r="I7" s="1" t="s">
        <v>15</v>
      </c>
      <c r="J7" s="1" t="s">
        <v>39</v>
      </c>
      <c r="K7" s="1" t="s">
        <v>41</v>
      </c>
      <c r="L7" s="1"/>
      <c r="P7" s="1"/>
      <c r="Q7" s="1" t="s">
        <v>16</v>
      </c>
      <c r="R7" s="1"/>
      <c r="S7" s="1" t="s">
        <v>18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 t="s">
        <v>13</v>
      </c>
      <c r="I8" s="1" t="s">
        <v>14</v>
      </c>
      <c r="J8" s="1" t="s">
        <v>42</v>
      </c>
      <c r="K8" s="12">
        <f>60/8</f>
        <v>7.5</v>
      </c>
      <c r="L8" s="1"/>
      <c r="P8" s="1"/>
      <c r="Q8" s="1" t="s">
        <v>25</v>
      </c>
      <c r="R8" s="1"/>
      <c r="S8" s="1" t="s">
        <v>19</v>
      </c>
      <c r="T8" s="1"/>
      <c r="U8" s="1"/>
    </row>
    <row r="9" spans="2:21" x14ac:dyDescent="0.55000000000000004">
      <c r="B9" s="2" t="s">
        <v>8</v>
      </c>
      <c r="C9" s="1">
        <v>5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17</v>
      </c>
      <c r="R9" s="1"/>
      <c r="S9" s="1" t="s">
        <v>15</v>
      </c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/>
      <c r="I10" s="1"/>
      <c r="J10" s="1"/>
      <c r="K10" s="1"/>
      <c r="L10" s="1"/>
      <c r="P10" s="1"/>
      <c r="Q10" s="1" t="s">
        <v>26</v>
      </c>
      <c r="R10" s="1"/>
      <c r="S10" s="1"/>
      <c r="T10" s="1"/>
      <c r="U10" s="1"/>
    </row>
    <row r="11" spans="2:21" x14ac:dyDescent="0.55000000000000004">
      <c r="B11" s="3" t="s">
        <v>9</v>
      </c>
      <c r="C11" s="1">
        <v>8</v>
      </c>
      <c r="D11" s="1"/>
      <c r="E11" s="3" t="s">
        <v>9</v>
      </c>
      <c r="F11" s="1">
        <v>0</v>
      </c>
      <c r="G11" s="1"/>
      <c r="H11" s="1" t="s">
        <v>20</v>
      </c>
      <c r="I11" s="1" t="s">
        <v>21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24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15</v>
      </c>
      <c r="D13" s="1"/>
      <c r="E13" s="1" t="s">
        <v>3</v>
      </c>
      <c r="F13" s="1">
        <v>17</v>
      </c>
      <c r="G13" s="1"/>
      <c r="H13" s="1"/>
      <c r="I13" s="1" t="s">
        <v>23</v>
      </c>
      <c r="J13" s="1"/>
      <c r="K13" s="1"/>
      <c r="L13" s="1"/>
      <c r="P13" s="1"/>
      <c r="Q13" s="1"/>
      <c r="R13" s="1"/>
      <c r="S13" s="1"/>
      <c r="T13" s="1"/>
      <c r="U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  <c r="H15" s="1"/>
      <c r="I15" s="1"/>
      <c r="J15" s="1"/>
      <c r="K15" s="1"/>
      <c r="L15" s="1"/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4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4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4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4" x14ac:dyDescent="0.55000000000000004">
      <c r="B20" s="1" t="s">
        <v>22</v>
      </c>
      <c r="C20" s="1">
        <f>SUM(C8:C19)</f>
        <v>63</v>
      </c>
      <c r="D20" s="1"/>
      <c r="E20" s="1" t="s">
        <v>22</v>
      </c>
      <c r="F20" s="1">
        <f>SUM(F8:F19)</f>
        <v>51</v>
      </c>
    </row>
    <row r="21" spans="2:24" x14ac:dyDescent="0.55000000000000004">
      <c r="B21" s="1" t="s">
        <v>28</v>
      </c>
      <c r="C21" s="1">
        <f>SUM(C9:C19)</f>
        <v>55</v>
      </c>
      <c r="D21" s="1"/>
      <c r="E21" s="1" t="s">
        <v>28</v>
      </c>
      <c r="F21" s="1">
        <f>SUM(F9:F19)</f>
        <v>39</v>
      </c>
    </row>
    <row r="22" spans="2:24" x14ac:dyDescent="0.55000000000000004">
      <c r="W22" s="1" t="s">
        <v>44</v>
      </c>
      <c r="X22" s="1" t="s">
        <v>45</v>
      </c>
    </row>
    <row r="23" spans="2:24" x14ac:dyDescent="0.55000000000000004">
      <c r="J23" t="s">
        <v>29</v>
      </c>
      <c r="W23" s="1" t="s">
        <v>43</v>
      </c>
      <c r="X23" s="1"/>
    </row>
    <row r="24" spans="2:24" x14ac:dyDescent="0.55000000000000004">
      <c r="J24" s="4">
        <v>1</v>
      </c>
      <c r="K24" s="4">
        <v>2</v>
      </c>
      <c r="L24" s="4">
        <v>3</v>
      </c>
      <c r="M24" s="4">
        <v>4</v>
      </c>
      <c r="N24" s="4">
        <v>5</v>
      </c>
      <c r="O24" s="4">
        <v>6</v>
      </c>
      <c r="P24" s="4">
        <v>7</v>
      </c>
      <c r="Q24" s="5">
        <v>1</v>
      </c>
      <c r="R24" s="5">
        <v>2</v>
      </c>
      <c r="S24" s="5">
        <v>3</v>
      </c>
      <c r="T24" s="5">
        <v>4</v>
      </c>
      <c r="U24" s="4">
        <v>8</v>
      </c>
      <c r="W24" s="1">
        <v>12</v>
      </c>
      <c r="X24" s="1"/>
    </row>
    <row r="25" spans="2:24" x14ac:dyDescent="0.55000000000000004">
      <c r="G25" s="1" t="s">
        <v>52</v>
      </c>
      <c r="I25" s="1" t="s">
        <v>27</v>
      </c>
      <c r="J25" s="6">
        <v>0.375</v>
      </c>
      <c r="K25" s="6">
        <v>0.37847222222222221</v>
      </c>
      <c r="L25" s="6">
        <v>0.38194444444444398</v>
      </c>
      <c r="M25" s="6">
        <v>0.38541666666666702</v>
      </c>
      <c r="N25" s="6">
        <v>0.38888888888888901</v>
      </c>
      <c r="O25" s="6">
        <v>0.39236111111111099</v>
      </c>
      <c r="P25" s="6">
        <v>0.39583333333333298</v>
      </c>
      <c r="Q25" s="6">
        <v>0.39930555555555602</v>
      </c>
      <c r="R25" s="6">
        <v>0.40277777777777801</v>
      </c>
      <c r="S25" s="6">
        <v>0.40625</v>
      </c>
      <c r="T25" s="6">
        <v>0.40972222222222199</v>
      </c>
      <c r="U25" s="6">
        <v>0.41319444444444398</v>
      </c>
      <c r="V25" s="1"/>
      <c r="W25" s="1">
        <v>23</v>
      </c>
      <c r="X25" s="1"/>
    </row>
    <row r="26" spans="2:24" x14ac:dyDescent="0.55000000000000004">
      <c r="G26" s="2" t="s">
        <v>8</v>
      </c>
      <c r="H26" s="6">
        <v>3.472222222222222E-3</v>
      </c>
      <c r="I26" s="2" t="s">
        <v>8</v>
      </c>
      <c r="J26" s="8">
        <f>J25+$H26</f>
        <v>0.37847222222222221</v>
      </c>
      <c r="K26" s="8">
        <f>J26+$H26</f>
        <v>0.38194444444444442</v>
      </c>
      <c r="L26" s="8">
        <f t="shared" ref="L26:P26" si="0">K26+$H26</f>
        <v>0.38541666666666663</v>
      </c>
      <c r="M26" s="8">
        <f t="shared" si="0"/>
        <v>0.38888888888888884</v>
      </c>
      <c r="N26" s="8">
        <f t="shared" si="0"/>
        <v>0.39236111111111105</v>
      </c>
      <c r="O26" s="8">
        <f t="shared" si="0"/>
        <v>0.39583333333333326</v>
      </c>
      <c r="P26" s="8">
        <f t="shared" si="0"/>
        <v>0.39930555555555547</v>
      </c>
      <c r="Q26" s="8">
        <f>P26+$H38</f>
        <v>0.40277777777777768</v>
      </c>
      <c r="R26" s="8">
        <f t="shared" ref="R26:T26" si="1">Q26+$H38</f>
        <v>0.40624999999999989</v>
      </c>
      <c r="S26" s="8">
        <f t="shared" si="1"/>
        <v>0.4097222222222221</v>
      </c>
      <c r="T26" s="8">
        <f t="shared" si="1"/>
        <v>0.41319444444444431</v>
      </c>
      <c r="U26" s="8">
        <f>T26+$H26</f>
        <v>0.41666666666666652</v>
      </c>
      <c r="V26" s="1"/>
      <c r="W26" s="1">
        <v>34</v>
      </c>
      <c r="X26" s="1">
        <v>12</v>
      </c>
    </row>
    <row r="27" spans="2:24" x14ac:dyDescent="0.55000000000000004">
      <c r="G27" s="3" t="s">
        <v>4</v>
      </c>
      <c r="H27" s="6">
        <v>1.3888888888888889E-3</v>
      </c>
      <c r="I27" s="3" t="s">
        <v>4</v>
      </c>
      <c r="J27" s="7">
        <f t="shared" ref="J27:J36" si="2">J26+$H27</f>
        <v>0.37986111111111109</v>
      </c>
      <c r="K27" s="7">
        <f t="shared" ref="K27:U27" si="3">K26+$H27</f>
        <v>0.3833333333333333</v>
      </c>
      <c r="L27" s="7">
        <f t="shared" si="3"/>
        <v>0.38680555555555551</v>
      </c>
      <c r="M27" s="7">
        <f t="shared" si="3"/>
        <v>0.39027777777777772</v>
      </c>
      <c r="N27" s="7">
        <f t="shared" si="3"/>
        <v>0.39374999999999993</v>
      </c>
      <c r="O27" s="7">
        <f t="shared" si="3"/>
        <v>0.39722222222222214</v>
      </c>
      <c r="P27" s="7">
        <f t="shared" si="3"/>
        <v>0.40069444444444435</v>
      </c>
      <c r="Q27" s="9">
        <f>Q26+$H39</f>
        <v>0.40277777777777768</v>
      </c>
      <c r="R27" s="9">
        <f t="shared" ref="R27:T27" si="4">R26+$H39</f>
        <v>0.40624999999999989</v>
      </c>
      <c r="S27" s="9">
        <f t="shared" si="4"/>
        <v>0.4097222222222221</v>
      </c>
      <c r="T27" s="9">
        <f t="shared" si="4"/>
        <v>0.41319444444444431</v>
      </c>
      <c r="U27" s="7">
        <f t="shared" si="3"/>
        <v>0.4180555555555554</v>
      </c>
      <c r="V27" s="6"/>
      <c r="W27" s="1">
        <v>45</v>
      </c>
      <c r="X27" s="1">
        <v>12</v>
      </c>
    </row>
    <row r="28" spans="2:24" x14ac:dyDescent="0.55000000000000004">
      <c r="G28" s="3" t="s">
        <v>9</v>
      </c>
      <c r="H28" s="6">
        <v>5.5555555555555558E-3</v>
      </c>
      <c r="I28" s="3" t="s">
        <v>9</v>
      </c>
      <c r="J28" s="7">
        <f t="shared" si="2"/>
        <v>0.38541666666666663</v>
      </c>
      <c r="K28" s="7">
        <f t="shared" ref="K28:P28" si="5">J28+$H28</f>
        <v>0.39097222222222217</v>
      </c>
      <c r="L28" s="7">
        <f t="shared" si="5"/>
        <v>0.3965277777777777</v>
      </c>
      <c r="M28" s="7">
        <f t="shared" si="5"/>
        <v>0.40208333333333324</v>
      </c>
      <c r="N28" s="7">
        <f t="shared" si="5"/>
        <v>0.40763888888888877</v>
      </c>
      <c r="O28" s="7">
        <f t="shared" si="5"/>
        <v>0.41319444444444431</v>
      </c>
      <c r="P28" s="7">
        <f t="shared" si="5"/>
        <v>0.41874999999999984</v>
      </c>
      <c r="Q28" s="9">
        <f>Q27+$H40</f>
        <v>0.40277777777777768</v>
      </c>
      <c r="R28" s="9">
        <f t="shared" ref="R28:T28" si="6">R27+$H40</f>
        <v>0.40624999999999989</v>
      </c>
      <c r="S28" s="9">
        <f t="shared" si="6"/>
        <v>0.4097222222222221</v>
      </c>
      <c r="T28" s="9">
        <f t="shared" si="6"/>
        <v>0.41319444444444431</v>
      </c>
      <c r="U28" s="7">
        <f>P28+$H28</f>
        <v>0.42430555555555538</v>
      </c>
      <c r="V28" s="6"/>
      <c r="W28" s="1">
        <v>5</v>
      </c>
      <c r="X28" s="1">
        <v>123</v>
      </c>
    </row>
    <row r="29" spans="2:24" x14ac:dyDescent="0.55000000000000004">
      <c r="G29" s="3" t="s">
        <v>4</v>
      </c>
      <c r="H29" s="6">
        <v>2.0833333333333333E-3</v>
      </c>
      <c r="I29" s="3" t="s">
        <v>4</v>
      </c>
      <c r="J29" s="7">
        <f t="shared" si="2"/>
        <v>0.38749999999999996</v>
      </c>
      <c r="K29" s="7">
        <f>K28+$H29</f>
        <v>0.39305555555555549</v>
      </c>
      <c r="L29" s="7">
        <f t="shared" ref="K29:P36" si="7">L28+$H29</f>
        <v>0.39861111111111103</v>
      </c>
      <c r="M29" s="7">
        <f t="shared" si="7"/>
        <v>0.40416666666666656</v>
      </c>
      <c r="N29" s="7">
        <f t="shared" si="7"/>
        <v>0.4097222222222221</v>
      </c>
      <c r="O29" s="7">
        <f t="shared" si="7"/>
        <v>0.41527777777777763</v>
      </c>
      <c r="P29" s="7">
        <f t="shared" si="7"/>
        <v>0.42083333333333317</v>
      </c>
      <c r="Q29" s="9">
        <f>Q28+$H41</f>
        <v>0.40416666666666656</v>
      </c>
      <c r="R29" s="9">
        <f t="shared" ref="R29:S29" si="8">R28+$H41</f>
        <v>0.40763888888888877</v>
      </c>
      <c r="S29" s="9">
        <f t="shared" si="8"/>
        <v>0.41111111111111098</v>
      </c>
      <c r="T29" s="9">
        <f>Q30+$H41</f>
        <v>0.41736111111111102</v>
      </c>
      <c r="U29" s="7">
        <f t="shared" ref="U29:U36" si="9">U28+$H29</f>
        <v>0.42638888888888871</v>
      </c>
      <c r="V29" s="1"/>
      <c r="W29" s="1">
        <v>56</v>
      </c>
      <c r="X29" s="1">
        <v>23</v>
      </c>
    </row>
    <row r="30" spans="2:24" x14ac:dyDescent="0.55000000000000004">
      <c r="G30" s="13" t="s">
        <v>3</v>
      </c>
      <c r="H30" s="14">
        <v>1.0416666666666666E-2</v>
      </c>
      <c r="I30" s="13" t="s">
        <v>3</v>
      </c>
      <c r="J30" s="14">
        <f t="shared" ref="J30:J35" si="10">J29+$H30</f>
        <v>0.39791666666666664</v>
      </c>
      <c r="K30" s="14">
        <f t="shared" ref="K30:P31" si="11">K29+$H30</f>
        <v>0.40347222222222218</v>
      </c>
      <c r="L30" s="14">
        <f t="shared" si="11"/>
        <v>0.40902777777777771</v>
      </c>
      <c r="M30" s="14">
        <f t="shared" si="11"/>
        <v>0.41458333333333325</v>
      </c>
      <c r="N30" s="14">
        <f t="shared" si="11"/>
        <v>0.42013888888888878</v>
      </c>
      <c r="O30" s="14">
        <f t="shared" si="11"/>
        <v>0.42569444444444432</v>
      </c>
      <c r="P30" s="14">
        <f t="shared" si="11"/>
        <v>0.43124999999999986</v>
      </c>
      <c r="Q30" s="14">
        <f>Q29+$H42</f>
        <v>0.41597222222222213</v>
      </c>
      <c r="R30" s="14">
        <f t="shared" ref="R30" si="12">R29+$H42</f>
        <v>0.41944444444444434</v>
      </c>
      <c r="S30" s="14">
        <f>M30+$H42</f>
        <v>0.42638888888888882</v>
      </c>
      <c r="T30" s="14">
        <f>R30+$H42</f>
        <v>0.43124999999999991</v>
      </c>
      <c r="U30" s="14">
        <f>U29+$H30</f>
        <v>0.43680555555555539</v>
      </c>
      <c r="V30" s="1"/>
      <c r="W30" s="1">
        <v>56</v>
      </c>
      <c r="X30" s="1">
        <v>34</v>
      </c>
    </row>
    <row r="31" spans="2:24" x14ac:dyDescent="0.55000000000000004">
      <c r="G31" s="1" t="s">
        <v>4</v>
      </c>
      <c r="H31" s="6">
        <v>2.0833333333333333E-3</v>
      </c>
      <c r="I31" s="1" t="s">
        <v>4</v>
      </c>
      <c r="J31" s="6">
        <f t="shared" si="10"/>
        <v>0.39999999999999997</v>
      </c>
      <c r="K31" s="6">
        <f t="shared" si="11"/>
        <v>0.4055555555555555</v>
      </c>
      <c r="L31" s="6">
        <f t="shared" si="11"/>
        <v>0.41111111111111104</v>
      </c>
      <c r="M31" s="6">
        <f t="shared" si="11"/>
        <v>0.41666666666666657</v>
      </c>
      <c r="N31" s="6">
        <f t="shared" si="11"/>
        <v>0.42222222222222211</v>
      </c>
      <c r="O31" s="6">
        <f t="shared" si="11"/>
        <v>0.42777777777777765</v>
      </c>
      <c r="P31" s="6">
        <f t="shared" si="11"/>
        <v>0.43333333333333318</v>
      </c>
      <c r="Q31" s="6">
        <f>Q30+$H43</f>
        <v>0.4187499999999999</v>
      </c>
      <c r="R31" s="6">
        <f t="shared" ref="R31:T31" si="13">R30+$H43</f>
        <v>0.42222222222222211</v>
      </c>
      <c r="S31" s="6">
        <f t="shared" si="13"/>
        <v>0.42916666666666659</v>
      </c>
      <c r="T31" s="6">
        <f t="shared" si="13"/>
        <v>0.43402777777777768</v>
      </c>
      <c r="U31" s="6">
        <f t="shared" si="9"/>
        <v>0.43888888888888872</v>
      </c>
      <c r="V31" s="1"/>
      <c r="W31" s="1">
        <v>67</v>
      </c>
      <c r="X31" s="1">
        <v>34</v>
      </c>
    </row>
    <row r="32" spans="2:24" x14ac:dyDescent="0.55000000000000004">
      <c r="G32" s="13" t="s">
        <v>5</v>
      </c>
      <c r="H32" s="14">
        <v>3.472222222222222E-3</v>
      </c>
      <c r="I32" s="13" t="s">
        <v>5</v>
      </c>
      <c r="J32" s="14">
        <f t="shared" si="10"/>
        <v>0.40347222222222218</v>
      </c>
      <c r="K32" s="14">
        <f t="shared" ref="K32:P33" si="14">K31+$H32</f>
        <v>0.40902777777777771</v>
      </c>
      <c r="L32" s="14">
        <f t="shared" si="14"/>
        <v>0.41458333333333325</v>
      </c>
      <c r="M32" s="14">
        <f t="shared" si="14"/>
        <v>0.42013888888888878</v>
      </c>
      <c r="N32" s="14">
        <f>R32+$H32</f>
        <v>0.43055555555555541</v>
      </c>
      <c r="O32" s="14">
        <f>N32+$H32</f>
        <v>0.43402777777777762</v>
      </c>
      <c r="P32" s="14">
        <f>S32+$H32</f>
        <v>0.44097222222222204</v>
      </c>
      <c r="Q32" s="14">
        <f>M32+$H44</f>
        <v>0.42361111111111099</v>
      </c>
      <c r="R32" s="14">
        <f>Q32+$H44</f>
        <v>0.4270833333333332</v>
      </c>
      <c r="S32" s="14">
        <f>O32+$H44</f>
        <v>0.43749999999999983</v>
      </c>
      <c r="T32" s="14">
        <f>P32+$H44</f>
        <v>0.44444444444444425</v>
      </c>
      <c r="U32" s="14">
        <f>T32+$H32</f>
        <v>0.44791666666666646</v>
      </c>
      <c r="V32" s="1"/>
      <c r="W32" s="1">
        <v>678</v>
      </c>
      <c r="X32" s="1">
        <v>4</v>
      </c>
    </row>
    <row r="33" spans="7:24" x14ac:dyDescent="0.55000000000000004">
      <c r="G33" s="1" t="s">
        <v>4</v>
      </c>
      <c r="H33" s="6">
        <v>1.3888888888888889E-3</v>
      </c>
      <c r="I33" s="1" t="s">
        <v>4</v>
      </c>
      <c r="J33" s="6">
        <f t="shared" si="10"/>
        <v>0.40486111111111106</v>
      </c>
      <c r="K33" s="6">
        <f t="shared" si="14"/>
        <v>0.4104166666666666</v>
      </c>
      <c r="L33" s="6">
        <f t="shared" si="14"/>
        <v>0.41597222222222213</v>
      </c>
      <c r="M33" s="6">
        <f t="shared" si="14"/>
        <v>0.42152777777777767</v>
      </c>
      <c r="N33" s="6">
        <f t="shared" si="14"/>
        <v>0.4319444444444443</v>
      </c>
      <c r="O33" s="6">
        <f t="shared" si="14"/>
        <v>0.43541666666666651</v>
      </c>
      <c r="P33" s="6">
        <f t="shared" si="14"/>
        <v>0.44236111111111093</v>
      </c>
      <c r="Q33" s="6">
        <f>Q32+$H45</f>
        <v>0.42430555555555544</v>
      </c>
      <c r="R33" s="6">
        <f t="shared" ref="R33:T33" si="15">R32+$H45</f>
        <v>0.42777777777777765</v>
      </c>
      <c r="S33" s="6">
        <f t="shared" si="15"/>
        <v>0.43819444444444428</v>
      </c>
      <c r="T33" s="6">
        <f t="shared" si="15"/>
        <v>0.4451388888888887</v>
      </c>
      <c r="U33" s="6">
        <f t="shared" si="9"/>
        <v>0.44930555555555535</v>
      </c>
      <c r="V33" s="1"/>
      <c r="W33" s="1"/>
      <c r="X33" s="1"/>
    </row>
    <row r="34" spans="7:24" x14ac:dyDescent="0.55000000000000004">
      <c r="G34" s="13" t="s">
        <v>10</v>
      </c>
      <c r="H34" s="14">
        <v>3.472222222222222E-3</v>
      </c>
      <c r="I34" s="13" t="s">
        <v>10</v>
      </c>
      <c r="J34" s="14">
        <f t="shared" si="10"/>
        <v>0.40833333333333327</v>
      </c>
      <c r="K34" s="14">
        <f t="shared" ref="K34:P35" si="16">K33+$H34</f>
        <v>0.41388888888888881</v>
      </c>
      <c r="L34" s="14">
        <f t="shared" si="16"/>
        <v>0.41944444444444434</v>
      </c>
      <c r="M34" s="14">
        <f t="shared" si="16"/>
        <v>0.42499999999999988</v>
      </c>
      <c r="N34" s="14">
        <f>N33+$H34</f>
        <v>0.43541666666666651</v>
      </c>
      <c r="O34" s="14">
        <f>O33+$H34</f>
        <v>0.43888888888888872</v>
      </c>
      <c r="P34" s="14">
        <f t="shared" si="16"/>
        <v>0.44583333333333314</v>
      </c>
      <c r="Q34" s="14">
        <f>M34+$H46</f>
        <v>0.42777777777777765</v>
      </c>
      <c r="R34" s="14">
        <f t="shared" ref="R34" si="17">R33+$H46</f>
        <v>0.43055555555555541</v>
      </c>
      <c r="S34" s="14">
        <f>O34+$H46</f>
        <v>0.44166666666666649</v>
      </c>
      <c r="T34" s="14">
        <f>P34+$H46</f>
        <v>0.44861111111111091</v>
      </c>
      <c r="U34" s="14">
        <f>U33+$H34</f>
        <v>0.45277777777777756</v>
      </c>
      <c r="V34" s="1"/>
      <c r="W34" s="1" t="s">
        <v>54</v>
      </c>
      <c r="X34" s="1"/>
    </row>
    <row r="35" spans="7:24" x14ac:dyDescent="0.55000000000000004">
      <c r="G35" s="1" t="s">
        <v>6</v>
      </c>
      <c r="H35" s="6">
        <v>1.3888888888888889E-3</v>
      </c>
      <c r="I35" s="1" t="s">
        <v>6</v>
      </c>
      <c r="J35" s="6">
        <f t="shared" si="10"/>
        <v>0.40972222222222215</v>
      </c>
      <c r="K35" s="6">
        <f t="shared" si="16"/>
        <v>0.41527777777777769</v>
      </c>
      <c r="L35" s="6">
        <f t="shared" si="16"/>
        <v>0.42083333333333323</v>
      </c>
      <c r="M35" s="6">
        <f t="shared" si="16"/>
        <v>0.42638888888888876</v>
      </c>
      <c r="N35" s="6">
        <f t="shared" si="16"/>
        <v>0.43680555555555539</v>
      </c>
      <c r="O35" s="6">
        <f t="shared" si="16"/>
        <v>0.4402777777777776</v>
      </c>
      <c r="P35" s="6">
        <f t="shared" si="16"/>
        <v>0.44722222222222202</v>
      </c>
      <c r="Q35" s="6">
        <f>Q34+$H47</f>
        <v>0.42986111111111097</v>
      </c>
      <c r="R35" s="6">
        <f t="shared" ref="Q35:S36" si="18">R34+$H47</f>
        <v>0.43263888888888874</v>
      </c>
      <c r="S35" s="6">
        <f t="shared" si="18"/>
        <v>0.44374999999999981</v>
      </c>
      <c r="T35" s="6">
        <f>T34+$H47</f>
        <v>0.45069444444444423</v>
      </c>
      <c r="U35" s="6">
        <f>U34+$H35</f>
        <v>0.45416666666666644</v>
      </c>
      <c r="V35" s="1"/>
      <c r="W35" s="1">
        <v>1</v>
      </c>
      <c r="X35" s="1"/>
    </row>
    <row r="36" spans="7:24" x14ac:dyDescent="0.55000000000000004">
      <c r="G36" s="1" t="s">
        <v>7</v>
      </c>
      <c r="H36" s="6">
        <v>3.472222222222222E-3</v>
      </c>
      <c r="I36" s="1" t="s">
        <v>7</v>
      </c>
      <c r="J36" s="6">
        <f t="shared" si="2"/>
        <v>0.41319444444444436</v>
      </c>
      <c r="K36" s="6">
        <f t="shared" si="7"/>
        <v>0.4187499999999999</v>
      </c>
      <c r="L36" s="6">
        <f t="shared" si="7"/>
        <v>0.42430555555555544</v>
      </c>
      <c r="M36" s="6">
        <f t="shared" si="7"/>
        <v>0.42986111111111097</v>
      </c>
      <c r="N36" s="6">
        <f t="shared" si="7"/>
        <v>0.4402777777777776</v>
      </c>
      <c r="O36" s="6">
        <f t="shared" si="7"/>
        <v>0.44374999999999981</v>
      </c>
      <c r="P36" s="6">
        <f t="shared" si="7"/>
        <v>0.45069444444444423</v>
      </c>
      <c r="Q36" s="6">
        <f t="shared" si="18"/>
        <v>0.4319444444444443</v>
      </c>
      <c r="R36" s="6">
        <f t="shared" si="18"/>
        <v>0.43472222222222207</v>
      </c>
      <c r="S36" s="6">
        <f t="shared" si="18"/>
        <v>0.44583333333333314</v>
      </c>
      <c r="T36" s="6">
        <f>T35+$H48</f>
        <v>0.45277777777777756</v>
      </c>
      <c r="U36" s="6">
        <f t="shared" si="9"/>
        <v>0.45763888888888865</v>
      </c>
      <c r="V36" s="1"/>
      <c r="W36" s="1">
        <v>2</v>
      </c>
      <c r="X36" s="1"/>
    </row>
    <row r="37" spans="7:24" x14ac:dyDescent="0.55000000000000004">
      <c r="G37" s="1" t="s">
        <v>53</v>
      </c>
      <c r="I37" s="1" t="s">
        <v>47</v>
      </c>
      <c r="J37" s="6">
        <f>J36-J25</f>
        <v>3.8194444444444364E-2</v>
      </c>
      <c r="K37" s="6">
        <f t="shared" ref="K37:U37" si="19">K36-K25</f>
        <v>4.027777777777769E-2</v>
      </c>
      <c r="L37" s="6">
        <f t="shared" si="19"/>
        <v>4.236111111111146E-2</v>
      </c>
      <c r="M37" s="6">
        <f t="shared" si="19"/>
        <v>4.4444444444443953E-2</v>
      </c>
      <c r="N37" s="6">
        <f t="shared" si="19"/>
        <v>5.1388888888888595E-2</v>
      </c>
      <c r="O37" s="6">
        <f t="shared" si="19"/>
        <v>5.1388888888888817E-2</v>
      </c>
      <c r="P37" s="6">
        <f t="shared" si="19"/>
        <v>5.4861111111111249E-2</v>
      </c>
      <c r="Q37" s="6">
        <f t="shared" si="19"/>
        <v>3.2638888888888273E-2</v>
      </c>
      <c r="R37" s="6">
        <f t="shared" si="19"/>
        <v>3.1944444444444053E-2</v>
      </c>
      <c r="S37" s="6">
        <f t="shared" si="19"/>
        <v>3.9583333333333137E-2</v>
      </c>
      <c r="T37" s="6">
        <f t="shared" si="19"/>
        <v>4.3055555555555569E-2</v>
      </c>
      <c r="U37" s="6">
        <f t="shared" si="19"/>
        <v>4.4444444444444675E-2</v>
      </c>
      <c r="V37" s="1"/>
      <c r="W37" s="1">
        <v>3</v>
      </c>
      <c r="X37" s="1"/>
    </row>
    <row r="38" spans="7:24" x14ac:dyDescent="0.55000000000000004">
      <c r="G38" s="2" t="s">
        <v>8</v>
      </c>
      <c r="H38" s="6">
        <v>3.472222222222222E-3</v>
      </c>
      <c r="I38" s="1" t="s">
        <v>48</v>
      </c>
      <c r="J38" s="6">
        <f>AVERAGE(J37:U37)</f>
        <v>4.288194444444432E-2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4</v>
      </c>
      <c r="X38" s="1"/>
    </row>
    <row r="39" spans="7:24" x14ac:dyDescent="0.55000000000000004">
      <c r="G39" s="3" t="s">
        <v>4</v>
      </c>
      <c r="H39" s="6">
        <v>0</v>
      </c>
      <c r="I39" s="1" t="s">
        <v>49</v>
      </c>
      <c r="J39" s="6">
        <f>AVERAGE(Q37:T37)</f>
        <v>3.6805555555555258E-2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1</v>
      </c>
    </row>
    <row r="40" spans="7:24" x14ac:dyDescent="0.55000000000000004">
      <c r="G40" s="3" t="s">
        <v>9</v>
      </c>
      <c r="H40" s="6">
        <v>0</v>
      </c>
      <c r="I40" s="1" t="s">
        <v>55</v>
      </c>
      <c r="J40" s="6">
        <f>AVERAGE(J37:P37,U37)</f>
        <v>4.5920138888888851E-2</v>
      </c>
      <c r="W40" s="1"/>
      <c r="X40" s="1">
        <v>2</v>
      </c>
    </row>
    <row r="41" spans="7:24" x14ac:dyDescent="0.55000000000000004">
      <c r="G41" s="3" t="s">
        <v>4</v>
      </c>
      <c r="H41" s="6">
        <v>1.3888888888888889E-3</v>
      </c>
      <c r="I41" s="1" t="s">
        <v>56</v>
      </c>
      <c r="J41" s="6">
        <f>MAX(J37:U37)</f>
        <v>5.4861111111111249E-2</v>
      </c>
      <c r="K41" s="1"/>
      <c r="L41" s="1"/>
      <c r="M41" s="1"/>
      <c r="N41" s="1"/>
      <c r="O41" s="1"/>
      <c r="P41" s="1"/>
      <c r="Q41" s="1"/>
      <c r="R41" s="1"/>
      <c r="S41" s="1"/>
      <c r="T41" s="1"/>
      <c r="W41" s="1">
        <v>5</v>
      </c>
      <c r="X41" s="1"/>
    </row>
    <row r="42" spans="7:24" x14ac:dyDescent="0.55000000000000004">
      <c r="G42" s="1" t="s">
        <v>3</v>
      </c>
      <c r="H42" s="6">
        <v>1.1805555555555555E-2</v>
      </c>
      <c r="I42" s="1" t="s">
        <v>57</v>
      </c>
      <c r="J42" s="6">
        <f>MIN(J37:U37)</f>
        <v>3.1944444444444053E-2</v>
      </c>
      <c r="W42" s="1">
        <v>6</v>
      </c>
      <c r="X42" s="1"/>
    </row>
    <row r="43" spans="7:24" x14ac:dyDescent="0.55000000000000004">
      <c r="G43" s="1" t="s">
        <v>4</v>
      </c>
      <c r="H43" s="6">
        <v>2.7777777777777779E-3</v>
      </c>
      <c r="I43" s="1" t="s">
        <v>58</v>
      </c>
      <c r="J43" s="6">
        <f>MAX(Q37:T37)</f>
        <v>4.3055555555555569E-2</v>
      </c>
      <c r="W43" s="1"/>
      <c r="X43" s="1">
        <v>3</v>
      </c>
    </row>
    <row r="44" spans="7:24" x14ac:dyDescent="0.55000000000000004">
      <c r="G44" s="1" t="s">
        <v>5</v>
      </c>
      <c r="H44" s="6">
        <v>3.472222222222222E-3</v>
      </c>
      <c r="I44" s="1" t="s">
        <v>59</v>
      </c>
      <c r="J44" s="6">
        <f>MIN(Q37:T37)</f>
        <v>3.1944444444444053E-2</v>
      </c>
      <c r="W44" s="1">
        <v>7</v>
      </c>
      <c r="X44" s="1"/>
    </row>
    <row r="45" spans="7:24" x14ac:dyDescent="0.55000000000000004">
      <c r="G45" s="1" t="s">
        <v>4</v>
      </c>
      <c r="H45" s="6">
        <v>6.9444444444444447E-4</v>
      </c>
      <c r="I45" s="1" t="s">
        <v>60</v>
      </c>
      <c r="J45" s="6">
        <f>MAX(J37:P37,U37)</f>
        <v>5.4861111111111249E-2</v>
      </c>
      <c r="W45" s="1"/>
      <c r="X45" s="1">
        <v>4</v>
      </c>
    </row>
    <row r="46" spans="7:24" x14ac:dyDescent="0.55000000000000004">
      <c r="G46" s="1" t="s">
        <v>10</v>
      </c>
      <c r="H46" s="6">
        <v>2.7777777777777779E-3</v>
      </c>
      <c r="I46" s="1" t="s">
        <v>61</v>
      </c>
      <c r="J46" s="6">
        <f>MIN(J37:P37,U37)</f>
        <v>3.8194444444444364E-2</v>
      </c>
      <c r="W46" s="1">
        <v>8</v>
      </c>
      <c r="X46" s="1"/>
    </row>
    <row r="47" spans="7:24" x14ac:dyDescent="0.55000000000000004">
      <c r="G47" s="1" t="s">
        <v>6</v>
      </c>
      <c r="H47" s="6">
        <v>2.0833333333333333E-3</v>
      </c>
      <c r="W47" s="1"/>
      <c r="X47" s="1"/>
    </row>
    <row r="48" spans="7:24" x14ac:dyDescent="0.55000000000000004">
      <c r="G48" s="1" t="s">
        <v>7</v>
      </c>
      <c r="H48" s="6">
        <v>2.0833333333333333E-3</v>
      </c>
      <c r="W48" s="1" t="s">
        <v>46</v>
      </c>
      <c r="X48" s="1"/>
    </row>
    <row r="49" spans="23:24" x14ac:dyDescent="0.55000000000000004">
      <c r="W49" s="1">
        <v>1</v>
      </c>
      <c r="X49" s="1"/>
    </row>
    <row r="50" spans="23:24" x14ac:dyDescent="0.55000000000000004">
      <c r="W50" s="1">
        <v>2</v>
      </c>
      <c r="X50" s="1"/>
    </row>
    <row r="51" spans="23:24" x14ac:dyDescent="0.55000000000000004">
      <c r="W51" s="1">
        <v>3</v>
      </c>
      <c r="X51" s="1"/>
    </row>
    <row r="52" spans="23:24" x14ac:dyDescent="0.55000000000000004">
      <c r="W52" s="1">
        <v>4</v>
      </c>
      <c r="X52" s="1"/>
    </row>
    <row r="53" spans="23:24" x14ac:dyDescent="0.55000000000000004">
      <c r="W53" s="1"/>
      <c r="X53" s="1">
        <v>1</v>
      </c>
    </row>
    <row r="54" spans="23:24" x14ac:dyDescent="0.55000000000000004">
      <c r="W54" s="1"/>
      <c r="X54" s="1">
        <v>2</v>
      </c>
    </row>
    <row r="55" spans="23:24" x14ac:dyDescent="0.55000000000000004">
      <c r="W55" s="1">
        <v>5</v>
      </c>
      <c r="X55" s="1"/>
    </row>
    <row r="56" spans="23:24" x14ac:dyDescent="0.55000000000000004">
      <c r="W56" s="1">
        <v>6</v>
      </c>
      <c r="X56" s="1"/>
    </row>
    <row r="57" spans="23:24" x14ac:dyDescent="0.55000000000000004">
      <c r="W57" s="1"/>
      <c r="X57" s="1">
        <v>3</v>
      </c>
    </row>
    <row r="58" spans="23:24" x14ac:dyDescent="0.55000000000000004">
      <c r="W58" s="1">
        <v>7</v>
      </c>
      <c r="X58" s="1"/>
    </row>
    <row r="59" spans="23:24" x14ac:dyDescent="0.55000000000000004">
      <c r="W59" s="1"/>
      <c r="X59" s="1">
        <v>4</v>
      </c>
    </row>
    <row r="60" spans="23:24" x14ac:dyDescent="0.55000000000000004">
      <c r="W60" s="1">
        <v>8</v>
      </c>
      <c r="X60" s="1"/>
    </row>
  </sheetData>
  <mergeCells count="3">
    <mergeCell ref="B7:C7"/>
    <mergeCell ref="E7:F7"/>
    <mergeCell ref="B6:F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FD85-D4F2-4FBE-BC20-5F43B1FF7CCD}">
  <dimension ref="B4:X60"/>
  <sheetViews>
    <sheetView topLeftCell="G27" zoomScale="80" zoomScaleNormal="55" workbookViewId="0">
      <selection activeCell="I48" sqref="I48:K56"/>
    </sheetView>
  </sheetViews>
  <sheetFormatPr defaultRowHeight="17.600000000000001" x14ac:dyDescent="0.55000000000000004"/>
  <cols>
    <col min="2" max="2" width="17.640625" bestFit="1" customWidth="1"/>
    <col min="5" max="5" width="17.640625" bestFit="1" customWidth="1"/>
    <col min="7" max="7" width="17.640625" bestFit="1" customWidth="1"/>
    <col min="9" max="9" width="20.7109375" bestFit="1" customWidth="1"/>
    <col min="10" max="10" width="9.140625" customWidth="1"/>
    <col min="11" max="11" width="14" bestFit="1" customWidth="1"/>
    <col min="13" max="13" width="14.5" bestFit="1" customWidth="1"/>
    <col min="23" max="23" width="16.5" bestFit="1" customWidth="1"/>
  </cols>
  <sheetData>
    <row r="4" spans="2:21" x14ac:dyDescent="0.55000000000000004">
      <c r="G4" s="1"/>
      <c r="H4" s="1"/>
      <c r="I4" s="1"/>
      <c r="J4" s="1"/>
      <c r="K4" s="1"/>
      <c r="L4" s="1"/>
      <c r="M4" s="1"/>
      <c r="N4" s="1"/>
      <c r="O4" s="1"/>
    </row>
    <row r="5" spans="2:21" x14ac:dyDescent="0.55000000000000004">
      <c r="G5" s="1"/>
      <c r="H5" s="1"/>
      <c r="I5" s="1" t="s">
        <v>37</v>
      </c>
      <c r="J5" s="1" t="s">
        <v>38</v>
      </c>
      <c r="K5" s="1" t="s">
        <v>40</v>
      </c>
      <c r="L5" s="1"/>
      <c r="P5" s="1"/>
      <c r="Q5" s="1"/>
      <c r="R5" s="1"/>
      <c r="S5" s="1"/>
      <c r="T5" s="1"/>
      <c r="U5" s="1"/>
    </row>
    <row r="6" spans="2:21" x14ac:dyDescent="0.55000000000000004">
      <c r="B6" s="15" t="s">
        <v>34</v>
      </c>
      <c r="C6" s="15"/>
      <c r="D6" s="15"/>
      <c r="E6" s="15"/>
      <c r="F6" s="15"/>
      <c r="G6" s="1"/>
      <c r="H6" s="1" t="s">
        <v>12</v>
      </c>
      <c r="I6" s="1" t="s">
        <v>15</v>
      </c>
      <c r="J6" s="1" t="s">
        <v>39</v>
      </c>
      <c r="K6" s="1" t="s">
        <v>41</v>
      </c>
      <c r="L6" s="1"/>
      <c r="P6" s="1"/>
      <c r="Q6" s="1" t="s">
        <v>16</v>
      </c>
      <c r="R6" s="1"/>
      <c r="S6" s="1" t="s">
        <v>18</v>
      </c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13</v>
      </c>
      <c r="I7" s="1" t="s">
        <v>14</v>
      </c>
      <c r="J7" s="1" t="s">
        <v>42</v>
      </c>
      <c r="K7" s="12">
        <f>60/8</f>
        <v>7.5</v>
      </c>
      <c r="L7" s="1"/>
      <c r="P7" s="1"/>
      <c r="Q7" s="1" t="s">
        <v>25</v>
      </c>
      <c r="R7" s="1"/>
      <c r="S7" s="1" t="s">
        <v>19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/>
      <c r="I8" s="1"/>
      <c r="J8" s="1"/>
      <c r="K8" s="1"/>
      <c r="L8" s="1"/>
      <c r="P8" s="1"/>
      <c r="Q8" s="1" t="s">
        <v>17</v>
      </c>
      <c r="R8" s="1"/>
      <c r="S8" s="1" t="s">
        <v>15</v>
      </c>
      <c r="T8" s="1"/>
      <c r="U8" s="1"/>
    </row>
    <row r="9" spans="2:21" x14ac:dyDescent="0.55000000000000004">
      <c r="B9" s="2" t="s">
        <v>8</v>
      </c>
      <c r="C9" s="1">
        <v>5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26</v>
      </c>
      <c r="R9" s="1"/>
      <c r="S9" s="1"/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 t="s">
        <v>20</v>
      </c>
      <c r="I10" s="1" t="s">
        <v>21</v>
      </c>
      <c r="J10" s="1"/>
      <c r="K10" s="1"/>
      <c r="L10" s="1"/>
      <c r="P10" s="1"/>
      <c r="Q10" s="1"/>
      <c r="R10" s="1"/>
      <c r="S10" s="1"/>
      <c r="T10" s="1"/>
      <c r="U10" s="1"/>
    </row>
    <row r="11" spans="2:21" x14ac:dyDescent="0.55000000000000004">
      <c r="B11" s="3" t="s">
        <v>9</v>
      </c>
      <c r="C11" s="1">
        <v>8</v>
      </c>
      <c r="D11" s="1"/>
      <c r="E11" s="3" t="s">
        <v>9</v>
      </c>
      <c r="F11" s="1">
        <v>0</v>
      </c>
      <c r="G11" s="1"/>
      <c r="H11" s="1"/>
      <c r="I11" s="1" t="s">
        <v>24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23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15</v>
      </c>
      <c r="D13" s="1"/>
      <c r="E13" s="1" t="s">
        <v>3</v>
      </c>
      <c r="F13" s="1">
        <v>17</v>
      </c>
      <c r="H13" s="1"/>
      <c r="I13" s="1"/>
      <c r="J13" s="1"/>
      <c r="K13" s="1"/>
      <c r="L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4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4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4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4" x14ac:dyDescent="0.55000000000000004">
      <c r="B20" s="1" t="s">
        <v>22</v>
      </c>
      <c r="C20" s="1">
        <f>SUM(C8:C19)</f>
        <v>63</v>
      </c>
      <c r="D20" s="1"/>
      <c r="E20" s="1" t="s">
        <v>22</v>
      </c>
      <c r="F20" s="1">
        <f>SUM(F8:F19)</f>
        <v>51</v>
      </c>
    </row>
    <row r="21" spans="2:24" x14ac:dyDescent="0.55000000000000004">
      <c r="B21" s="1" t="s">
        <v>28</v>
      </c>
      <c r="C21" s="1">
        <f>SUM(C9:C19)</f>
        <v>55</v>
      </c>
      <c r="D21" s="1"/>
      <c r="E21" s="1" t="s">
        <v>28</v>
      </c>
      <c r="F21" s="1">
        <f>SUM(F9:F19)</f>
        <v>39</v>
      </c>
    </row>
    <row r="22" spans="2:24" x14ac:dyDescent="0.55000000000000004">
      <c r="W22" s="1" t="s">
        <v>44</v>
      </c>
      <c r="X22" s="1" t="s">
        <v>45</v>
      </c>
    </row>
    <row r="23" spans="2:24" x14ac:dyDescent="0.55000000000000004">
      <c r="J23" t="s">
        <v>29</v>
      </c>
      <c r="W23" s="1" t="s">
        <v>43</v>
      </c>
      <c r="X23" s="1"/>
    </row>
    <row r="24" spans="2:24" x14ac:dyDescent="0.55000000000000004">
      <c r="J24" s="4">
        <v>1</v>
      </c>
      <c r="K24" s="4">
        <v>2</v>
      </c>
      <c r="L24" s="4">
        <v>3</v>
      </c>
      <c r="M24" s="4">
        <v>4</v>
      </c>
      <c r="N24" s="4">
        <v>5</v>
      </c>
      <c r="O24" s="4">
        <v>6</v>
      </c>
      <c r="P24" s="4">
        <v>7</v>
      </c>
      <c r="Q24" s="5">
        <v>1</v>
      </c>
      <c r="R24" s="5">
        <v>2</v>
      </c>
      <c r="S24" s="5">
        <v>3</v>
      </c>
      <c r="T24" s="5">
        <v>4</v>
      </c>
      <c r="U24" s="4">
        <v>8</v>
      </c>
      <c r="W24" s="1">
        <v>12</v>
      </c>
      <c r="X24" s="1"/>
    </row>
    <row r="25" spans="2:24" x14ac:dyDescent="0.55000000000000004">
      <c r="I25" s="1" t="s">
        <v>27</v>
      </c>
      <c r="J25" s="6">
        <v>0.375</v>
      </c>
      <c r="K25" s="6">
        <v>0.37847222222222221</v>
      </c>
      <c r="L25" s="6">
        <v>0.38194444444444398</v>
      </c>
      <c r="M25" s="6">
        <v>0.38541666666666702</v>
      </c>
      <c r="N25" s="6">
        <v>0.38888888888888901</v>
      </c>
      <c r="O25" s="6">
        <v>0.39236111111111099</v>
      </c>
      <c r="P25" s="6">
        <v>0.39583333333333298</v>
      </c>
      <c r="Q25" s="6">
        <v>0.39930555555555602</v>
      </c>
      <c r="R25" s="6">
        <v>0.40277777777777801</v>
      </c>
      <c r="S25" s="6">
        <v>0.40625</v>
      </c>
      <c r="T25" s="6">
        <v>0.40972222222222199</v>
      </c>
      <c r="U25" s="6">
        <v>0.41319444444444398</v>
      </c>
      <c r="V25" s="1"/>
      <c r="W25" s="1">
        <v>23</v>
      </c>
      <c r="X25" s="1">
        <v>1</v>
      </c>
    </row>
    <row r="26" spans="2:24" x14ac:dyDescent="0.55000000000000004">
      <c r="G26" s="2" t="s">
        <v>8</v>
      </c>
      <c r="H26" s="6">
        <v>3.472222222222222E-3</v>
      </c>
      <c r="I26" s="2" t="s">
        <v>8</v>
      </c>
      <c r="J26" s="8">
        <f t="shared" ref="J26:P36" si="0">J25+$H26</f>
        <v>0.37847222222222221</v>
      </c>
      <c r="K26" s="8">
        <f t="shared" si="0"/>
        <v>0.38194444444444442</v>
      </c>
      <c r="L26" s="8">
        <f t="shared" si="0"/>
        <v>0.38541666666666619</v>
      </c>
      <c r="M26" s="8">
        <f t="shared" si="0"/>
        <v>0.38888888888888923</v>
      </c>
      <c r="N26" s="8">
        <f t="shared" si="0"/>
        <v>0.39236111111111122</v>
      </c>
      <c r="O26" s="8">
        <f t="shared" si="0"/>
        <v>0.3958333333333332</v>
      </c>
      <c r="P26" s="8">
        <f>P25+$H26</f>
        <v>0.39930555555555519</v>
      </c>
      <c r="Q26" s="10">
        <f t="shared" ref="Q26:Q36" si="1">Q25+$H38</f>
        <v>0.39930555555555602</v>
      </c>
      <c r="R26" s="10">
        <f t="shared" ref="R26:T26" si="2">R25+$H38</f>
        <v>0.40277777777777801</v>
      </c>
      <c r="S26" s="10">
        <f t="shared" si="2"/>
        <v>0.40625</v>
      </c>
      <c r="T26" s="10">
        <f t="shared" si="2"/>
        <v>0.40972222222222199</v>
      </c>
      <c r="U26" s="8">
        <f>U25+$H26</f>
        <v>0.41666666666666619</v>
      </c>
      <c r="V26" s="1"/>
      <c r="W26" s="1">
        <v>34</v>
      </c>
      <c r="X26" s="1">
        <v>12</v>
      </c>
    </row>
    <row r="27" spans="2:24" x14ac:dyDescent="0.55000000000000004">
      <c r="G27" s="3" t="s">
        <v>4</v>
      </c>
      <c r="H27" s="6">
        <v>1.3888888888888889E-3</v>
      </c>
      <c r="I27" s="3" t="s">
        <v>4</v>
      </c>
      <c r="J27" s="7">
        <f t="shared" si="0"/>
        <v>0.37986111111111109</v>
      </c>
      <c r="K27" s="7">
        <f t="shared" si="0"/>
        <v>0.3833333333333333</v>
      </c>
      <c r="L27" s="7">
        <f t="shared" si="0"/>
        <v>0.38680555555555507</v>
      </c>
      <c r="M27" s="7">
        <f t="shared" si="0"/>
        <v>0.39027777777777811</v>
      </c>
      <c r="N27" s="7">
        <f t="shared" si="0"/>
        <v>0.3937500000000001</v>
      </c>
      <c r="O27" s="7">
        <f t="shared" si="0"/>
        <v>0.39722222222222209</v>
      </c>
      <c r="P27" s="7">
        <f>P26+$H27</f>
        <v>0.40069444444444408</v>
      </c>
      <c r="Q27" s="11">
        <f t="shared" si="1"/>
        <v>0.39930555555555602</v>
      </c>
      <c r="R27" s="11">
        <f t="shared" ref="R27:T27" si="3">R26+$H39</f>
        <v>0.40277777777777801</v>
      </c>
      <c r="S27" s="11">
        <f t="shared" si="3"/>
        <v>0.40625</v>
      </c>
      <c r="T27" s="11">
        <f t="shared" si="3"/>
        <v>0.40972222222222199</v>
      </c>
      <c r="U27" s="7">
        <f>U26+$H27</f>
        <v>0.41805555555555507</v>
      </c>
      <c r="V27" s="6"/>
      <c r="W27" s="1">
        <v>4</v>
      </c>
      <c r="X27" s="1">
        <v>123</v>
      </c>
    </row>
    <row r="28" spans="2:24" x14ac:dyDescent="0.55000000000000004">
      <c r="G28" s="3" t="s">
        <v>9</v>
      </c>
      <c r="H28" s="6">
        <v>5.5555555555555558E-3</v>
      </c>
      <c r="I28" s="3" t="s">
        <v>9</v>
      </c>
      <c r="J28" s="7">
        <f>J27+$H28</f>
        <v>0.38541666666666663</v>
      </c>
      <c r="K28" s="7">
        <f>J28+$H28</f>
        <v>0.39097222222222217</v>
      </c>
      <c r="L28" s="7">
        <f t="shared" ref="L28:O28" si="4">K28+$H28</f>
        <v>0.3965277777777777</v>
      </c>
      <c r="M28" s="7">
        <f t="shared" si="4"/>
        <v>0.40208333333333324</v>
      </c>
      <c r="N28" s="7">
        <f t="shared" si="4"/>
        <v>0.40763888888888877</v>
      </c>
      <c r="O28" s="7">
        <f t="shared" si="4"/>
        <v>0.41319444444444431</v>
      </c>
      <c r="P28" s="7">
        <f>O28+$H28</f>
        <v>0.41874999999999984</v>
      </c>
      <c r="Q28" s="11">
        <f t="shared" si="1"/>
        <v>0.39930555555555602</v>
      </c>
      <c r="R28" s="11">
        <f t="shared" ref="R28:T28" si="5">R27+$H40</f>
        <v>0.40277777777777801</v>
      </c>
      <c r="S28" s="11">
        <f t="shared" si="5"/>
        <v>0.40625</v>
      </c>
      <c r="T28" s="11">
        <f t="shared" si="5"/>
        <v>0.40972222222222199</v>
      </c>
      <c r="U28" s="7">
        <f>P28+$H28</f>
        <v>0.42430555555555538</v>
      </c>
      <c r="V28" s="6"/>
      <c r="W28" s="1">
        <v>45</v>
      </c>
      <c r="X28" s="1">
        <v>23</v>
      </c>
    </row>
    <row r="29" spans="2:24" x14ac:dyDescent="0.55000000000000004">
      <c r="G29" s="3" t="s">
        <v>4</v>
      </c>
      <c r="H29" s="6">
        <v>2.0833333333333333E-3</v>
      </c>
      <c r="I29" s="3" t="s">
        <v>4</v>
      </c>
      <c r="J29" s="7">
        <f t="shared" si="0"/>
        <v>0.38749999999999996</v>
      </c>
      <c r="K29" s="7">
        <f t="shared" si="0"/>
        <v>0.39305555555555549</v>
      </c>
      <c r="L29" s="7">
        <f t="shared" si="0"/>
        <v>0.39861111111111103</v>
      </c>
      <c r="M29" s="7">
        <f t="shared" si="0"/>
        <v>0.40416666666666656</v>
      </c>
      <c r="N29" s="7">
        <f t="shared" si="0"/>
        <v>0.4097222222222221</v>
      </c>
      <c r="O29" s="7">
        <f t="shared" si="0"/>
        <v>0.41527777777777763</v>
      </c>
      <c r="P29" s="7">
        <f>P28+$H29</f>
        <v>0.42083333333333317</v>
      </c>
      <c r="Q29" s="11">
        <f t="shared" si="1"/>
        <v>0.40069444444444491</v>
      </c>
      <c r="R29" s="11">
        <f t="shared" ref="R29:T29" si="6">R28+$H41</f>
        <v>0.4041666666666669</v>
      </c>
      <c r="S29" s="11">
        <f t="shared" si="6"/>
        <v>0.40763888888888888</v>
      </c>
      <c r="T29" s="11">
        <f t="shared" si="6"/>
        <v>0.41111111111111087</v>
      </c>
      <c r="U29" s="7">
        <f>U28+$H29</f>
        <v>0.42638888888888871</v>
      </c>
      <c r="V29" s="1"/>
      <c r="W29" s="1">
        <v>5</v>
      </c>
      <c r="X29" s="1">
        <v>234</v>
      </c>
    </row>
    <row r="30" spans="2:24" x14ac:dyDescent="0.55000000000000004">
      <c r="G30" s="13" t="s">
        <v>3</v>
      </c>
      <c r="H30" s="14">
        <v>1.0416666666666666E-2</v>
      </c>
      <c r="I30" s="13" t="s">
        <v>3</v>
      </c>
      <c r="J30" s="14">
        <f>J29+$H30</f>
        <v>0.39791666666666664</v>
      </c>
      <c r="K30" s="14">
        <f t="shared" ref="K30:O30" si="7">K29+$H30</f>
        <v>0.40347222222222218</v>
      </c>
      <c r="L30" s="14">
        <f t="shared" si="7"/>
        <v>0.40902777777777771</v>
      </c>
      <c r="M30" s="14">
        <f>M29+$H30</f>
        <v>0.41458333333333325</v>
      </c>
      <c r="N30" s="14">
        <f>Q30+$H30</f>
        <v>0.42291666666666716</v>
      </c>
      <c r="O30" s="14">
        <f t="shared" si="7"/>
        <v>0.42569444444444432</v>
      </c>
      <c r="P30" s="14">
        <f>P29+$H30</f>
        <v>0.43124999999999986</v>
      </c>
      <c r="Q30" s="14">
        <f>Q29+$H42</f>
        <v>0.41250000000000048</v>
      </c>
      <c r="R30" s="14">
        <f>R29+$H42</f>
        <v>0.41597222222222247</v>
      </c>
      <c r="S30" s="14">
        <f>L30+$H42</f>
        <v>0.42083333333333328</v>
      </c>
      <c r="T30" s="14">
        <f>M30+$H42</f>
        <v>0.42638888888888882</v>
      </c>
      <c r="U30" s="14">
        <f>U29+$H30</f>
        <v>0.43680555555555539</v>
      </c>
      <c r="V30" s="1"/>
      <c r="W30" s="1">
        <v>56</v>
      </c>
      <c r="X30" s="1">
        <v>34</v>
      </c>
    </row>
    <row r="31" spans="2:24" x14ac:dyDescent="0.55000000000000004">
      <c r="G31" s="1" t="s">
        <v>4</v>
      </c>
      <c r="H31" s="6">
        <v>2.0833333333333333E-3</v>
      </c>
      <c r="I31" s="1" t="s">
        <v>4</v>
      </c>
      <c r="J31" s="6">
        <f t="shared" si="0"/>
        <v>0.39999999999999997</v>
      </c>
      <c r="K31" s="6">
        <f t="shared" si="0"/>
        <v>0.4055555555555555</v>
      </c>
      <c r="L31" s="6">
        <f t="shared" si="0"/>
        <v>0.41111111111111104</v>
      </c>
      <c r="M31" s="6">
        <f t="shared" si="0"/>
        <v>0.41666666666666657</v>
      </c>
      <c r="N31" s="6">
        <f t="shared" si="0"/>
        <v>0.42500000000000049</v>
      </c>
      <c r="O31" s="6">
        <f t="shared" si="0"/>
        <v>0.42777777777777765</v>
      </c>
      <c r="P31" s="6">
        <f t="shared" si="0"/>
        <v>0.43333333333333318</v>
      </c>
      <c r="Q31" s="6">
        <f t="shared" si="1"/>
        <v>0.41527777777777825</v>
      </c>
      <c r="R31" s="6">
        <f t="shared" ref="R31:T31" si="8">R30+$H43</f>
        <v>0.41875000000000023</v>
      </c>
      <c r="S31" s="6">
        <f t="shared" si="8"/>
        <v>0.42361111111111105</v>
      </c>
      <c r="T31" s="6">
        <f t="shared" si="8"/>
        <v>0.42916666666666659</v>
      </c>
      <c r="U31" s="6">
        <f>U30+$H31</f>
        <v>0.43888888888888872</v>
      </c>
      <c r="V31" s="1"/>
      <c r="W31" s="1">
        <v>567</v>
      </c>
      <c r="X31" s="1">
        <v>4</v>
      </c>
    </row>
    <row r="32" spans="2:24" x14ac:dyDescent="0.55000000000000004">
      <c r="G32" s="13" t="s">
        <v>5</v>
      </c>
      <c r="H32" s="14">
        <v>3.472222222222222E-3</v>
      </c>
      <c r="I32" s="13" t="s">
        <v>5</v>
      </c>
      <c r="J32" s="14">
        <f>J31+$H32</f>
        <v>0.40347222222222218</v>
      </c>
      <c r="K32" s="14">
        <f t="shared" si="0"/>
        <v>0.40902777777777771</v>
      </c>
      <c r="L32" s="14">
        <f t="shared" si="0"/>
        <v>0.41458333333333325</v>
      </c>
      <c r="M32" s="14">
        <f>Q32+$H32</f>
        <v>0.42222222222222267</v>
      </c>
      <c r="N32" s="14">
        <f>S32+$H32</f>
        <v>0.43263888888888929</v>
      </c>
      <c r="O32" s="14">
        <f>N32+$H32</f>
        <v>0.4361111111111115</v>
      </c>
      <c r="P32" s="14">
        <f>T32+$H32</f>
        <v>0.44305555555555592</v>
      </c>
      <c r="Q32" s="14">
        <f t="shared" si="1"/>
        <v>0.41875000000000046</v>
      </c>
      <c r="R32" s="14">
        <f>M32+$H44</f>
        <v>0.42569444444444487</v>
      </c>
      <c r="S32" s="14">
        <f>R32+$H44</f>
        <v>0.42916666666666708</v>
      </c>
      <c r="T32" s="14">
        <f>O32+$H44</f>
        <v>0.43958333333333371</v>
      </c>
      <c r="U32" s="14">
        <f>P32+$H32</f>
        <v>0.44652777777777813</v>
      </c>
      <c r="V32" s="1"/>
      <c r="W32" s="1">
        <v>678</v>
      </c>
      <c r="X32" s="1">
        <v>4</v>
      </c>
    </row>
    <row r="33" spans="7:24" x14ac:dyDescent="0.55000000000000004">
      <c r="G33" s="1" t="s">
        <v>4</v>
      </c>
      <c r="H33" s="6">
        <v>1.3888888888888889E-3</v>
      </c>
      <c r="I33" s="1" t="s">
        <v>4</v>
      </c>
      <c r="J33" s="6">
        <f t="shared" si="0"/>
        <v>0.40486111111111106</v>
      </c>
      <c r="K33" s="6">
        <f t="shared" si="0"/>
        <v>0.4104166666666666</v>
      </c>
      <c r="L33" s="6">
        <f t="shared" si="0"/>
        <v>0.41597222222222213</v>
      </c>
      <c r="M33" s="6">
        <f t="shared" si="0"/>
        <v>0.42361111111111155</v>
      </c>
      <c r="N33" s="6">
        <f t="shared" si="0"/>
        <v>0.43402777777777818</v>
      </c>
      <c r="O33" s="6">
        <f t="shared" si="0"/>
        <v>0.43750000000000039</v>
      </c>
      <c r="P33" s="6">
        <f>P32+$H33</f>
        <v>0.44444444444444481</v>
      </c>
      <c r="Q33" s="6">
        <f t="shared" si="1"/>
        <v>0.4194444444444449</v>
      </c>
      <c r="R33" s="6">
        <f t="shared" ref="R33:T33" si="9">R32+$H45</f>
        <v>0.42638888888888932</v>
      </c>
      <c r="S33" s="6">
        <f t="shared" si="9"/>
        <v>0.42986111111111153</v>
      </c>
      <c r="T33" s="6">
        <f t="shared" si="9"/>
        <v>0.44027777777777816</v>
      </c>
      <c r="U33" s="6">
        <f>U32+$H33</f>
        <v>0.44791666666666702</v>
      </c>
      <c r="V33" s="1"/>
      <c r="W33" s="1"/>
      <c r="X33" s="1"/>
    </row>
    <row r="34" spans="7:24" x14ac:dyDescent="0.55000000000000004">
      <c r="G34" s="13" t="s">
        <v>10</v>
      </c>
      <c r="H34" s="14">
        <v>3.472222222222222E-3</v>
      </c>
      <c r="I34" s="13" t="s">
        <v>10</v>
      </c>
      <c r="J34" s="14">
        <f t="shared" si="0"/>
        <v>0.40833333333333327</v>
      </c>
      <c r="K34" s="14">
        <f t="shared" si="0"/>
        <v>0.41388888888888881</v>
      </c>
      <c r="L34" s="14">
        <f t="shared" si="0"/>
        <v>0.41944444444444434</v>
      </c>
      <c r="M34" s="14">
        <f t="shared" si="0"/>
        <v>0.42708333333333376</v>
      </c>
      <c r="N34" s="14">
        <f t="shared" si="0"/>
        <v>0.43750000000000039</v>
      </c>
      <c r="O34" s="14">
        <f t="shared" si="0"/>
        <v>0.4409722222222226</v>
      </c>
      <c r="P34" s="14">
        <f>P33+$H34</f>
        <v>0.44791666666666702</v>
      </c>
      <c r="Q34" s="14">
        <f t="shared" si="1"/>
        <v>0.42222222222222267</v>
      </c>
      <c r="R34" s="14">
        <f>M34+$H46</f>
        <v>0.42986111111111153</v>
      </c>
      <c r="S34" s="14">
        <f t="shared" ref="S34" si="10">S33+$H46</f>
        <v>0.43263888888888929</v>
      </c>
      <c r="T34" s="14">
        <f>O34+$H46</f>
        <v>0.44375000000000037</v>
      </c>
      <c r="U34" s="14">
        <f>U33+$H34</f>
        <v>0.45138888888888923</v>
      </c>
      <c r="V34" s="1"/>
      <c r="W34" s="1" t="s">
        <v>54</v>
      </c>
      <c r="X34" s="1"/>
    </row>
    <row r="35" spans="7:24" x14ac:dyDescent="0.55000000000000004">
      <c r="G35" s="1" t="s">
        <v>6</v>
      </c>
      <c r="H35" s="6">
        <v>1.3888888888888889E-3</v>
      </c>
      <c r="I35" s="1" t="s">
        <v>6</v>
      </c>
      <c r="J35" s="6">
        <f t="shared" si="0"/>
        <v>0.40972222222222215</v>
      </c>
      <c r="K35" s="6">
        <f t="shared" si="0"/>
        <v>0.41527777777777769</v>
      </c>
      <c r="L35" s="6">
        <f t="shared" si="0"/>
        <v>0.42083333333333323</v>
      </c>
      <c r="M35" s="6">
        <f t="shared" si="0"/>
        <v>0.42847222222222264</v>
      </c>
      <c r="N35" s="6">
        <f t="shared" si="0"/>
        <v>0.43888888888888927</v>
      </c>
      <c r="O35" s="6">
        <f t="shared" si="0"/>
        <v>0.44236111111111148</v>
      </c>
      <c r="P35" s="6">
        <f>P34+$H35</f>
        <v>0.4493055555555559</v>
      </c>
      <c r="Q35" s="6">
        <f t="shared" si="1"/>
        <v>0.42430555555555599</v>
      </c>
      <c r="R35" s="6">
        <f t="shared" ref="R35:T35" si="11">R34+$H47</f>
        <v>0.43194444444444485</v>
      </c>
      <c r="S35" s="6">
        <f t="shared" si="11"/>
        <v>0.43472222222222262</v>
      </c>
      <c r="T35" s="6">
        <f t="shared" si="11"/>
        <v>0.44583333333333369</v>
      </c>
      <c r="U35" s="6">
        <f>U34+$H35</f>
        <v>0.45277777777777811</v>
      </c>
      <c r="V35" s="1"/>
      <c r="W35" s="1">
        <v>1</v>
      </c>
      <c r="X35" s="1"/>
    </row>
    <row r="36" spans="7:24" x14ac:dyDescent="0.55000000000000004">
      <c r="G36" s="1" t="s">
        <v>7</v>
      </c>
      <c r="H36" s="6">
        <v>3.472222222222222E-3</v>
      </c>
      <c r="I36" s="1" t="s">
        <v>7</v>
      </c>
      <c r="J36" s="6">
        <f t="shared" si="0"/>
        <v>0.41319444444444436</v>
      </c>
      <c r="K36" s="6">
        <f t="shared" si="0"/>
        <v>0.4187499999999999</v>
      </c>
      <c r="L36" s="6">
        <f t="shared" si="0"/>
        <v>0.42430555555555544</v>
      </c>
      <c r="M36" s="6">
        <f t="shared" si="0"/>
        <v>0.43194444444444485</v>
      </c>
      <c r="N36" s="6">
        <f t="shared" si="0"/>
        <v>0.44236111111111148</v>
      </c>
      <c r="O36" s="6">
        <f t="shared" si="0"/>
        <v>0.44583333333333369</v>
      </c>
      <c r="P36" s="6">
        <f>P35+$H36</f>
        <v>0.45277777777777811</v>
      </c>
      <c r="Q36" s="6">
        <f t="shared" si="1"/>
        <v>0.42638888888888932</v>
      </c>
      <c r="R36" s="6">
        <f t="shared" ref="R36:T36" si="12">R35+$H48</f>
        <v>0.43402777777777818</v>
      </c>
      <c r="S36" s="6">
        <f t="shared" si="12"/>
        <v>0.43680555555555595</v>
      </c>
      <c r="T36" s="6">
        <f t="shared" si="12"/>
        <v>0.44791666666666702</v>
      </c>
      <c r="U36" s="6">
        <f>U35+$H36</f>
        <v>0.45625000000000032</v>
      </c>
      <c r="V36" s="1"/>
      <c r="W36" s="1">
        <v>2</v>
      </c>
      <c r="X36" s="1"/>
    </row>
    <row r="37" spans="7:24" x14ac:dyDescent="0.55000000000000004">
      <c r="I37" s="1" t="s">
        <v>47</v>
      </c>
      <c r="J37" s="6">
        <f>J36-J25</f>
        <v>3.8194444444444364E-2</v>
      </c>
      <c r="K37" s="6">
        <f t="shared" ref="K37:U37" si="13">K36-K25</f>
        <v>4.027777777777769E-2</v>
      </c>
      <c r="L37" s="6">
        <f t="shared" si="13"/>
        <v>4.236111111111146E-2</v>
      </c>
      <c r="M37" s="6">
        <f t="shared" si="13"/>
        <v>4.6527777777777835E-2</v>
      </c>
      <c r="N37" s="6">
        <f t="shared" si="13"/>
        <v>5.3472222222222476E-2</v>
      </c>
      <c r="O37" s="6">
        <f t="shared" si="13"/>
        <v>5.3472222222222698E-2</v>
      </c>
      <c r="P37" s="6">
        <f t="shared" si="13"/>
        <v>5.694444444444513E-2</v>
      </c>
      <c r="Q37" s="6">
        <f t="shared" si="13"/>
        <v>2.7083333333333293E-2</v>
      </c>
      <c r="R37" s="6">
        <f t="shared" si="13"/>
        <v>3.1250000000000167E-2</v>
      </c>
      <c r="S37" s="6">
        <f t="shared" si="13"/>
        <v>3.0555555555555947E-2</v>
      </c>
      <c r="T37" s="6">
        <f t="shared" si="13"/>
        <v>3.819444444444503E-2</v>
      </c>
      <c r="U37" s="6">
        <f t="shared" si="13"/>
        <v>4.3055555555556346E-2</v>
      </c>
      <c r="V37" s="1"/>
      <c r="W37" s="1">
        <v>3</v>
      </c>
      <c r="X37" s="1"/>
    </row>
    <row r="38" spans="7:24" x14ac:dyDescent="0.55000000000000004">
      <c r="G38" s="2" t="s">
        <v>8</v>
      </c>
      <c r="H38" s="6">
        <v>0</v>
      </c>
      <c r="I38" s="1" t="s">
        <v>48</v>
      </c>
      <c r="J38" s="6">
        <f>AVERAGE(J37:U37)</f>
        <v>4.1782407407407705E-2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1</v>
      </c>
    </row>
    <row r="39" spans="7:24" x14ac:dyDescent="0.55000000000000004">
      <c r="G39" s="3" t="s">
        <v>4</v>
      </c>
      <c r="H39" s="6">
        <v>0</v>
      </c>
      <c r="I39" s="1" t="s">
        <v>49</v>
      </c>
      <c r="J39" s="6">
        <f>AVERAGE(Q37:T37)</f>
        <v>3.1770833333333609E-2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4</v>
      </c>
      <c r="X39" s="1"/>
    </row>
    <row r="40" spans="7:24" x14ac:dyDescent="0.55000000000000004">
      <c r="G40" s="3" t="s">
        <v>9</v>
      </c>
      <c r="H40" s="6">
        <v>0</v>
      </c>
      <c r="I40" s="1" t="s">
        <v>55</v>
      </c>
      <c r="J40" s="6">
        <f>AVERAGE(J37:P37,U37)</f>
        <v>4.678819444444475E-2</v>
      </c>
      <c r="W40" s="1"/>
      <c r="X40" s="1">
        <v>2</v>
      </c>
    </row>
    <row r="41" spans="7:24" x14ac:dyDescent="0.55000000000000004">
      <c r="G41" s="3" t="s">
        <v>4</v>
      </c>
      <c r="H41" s="6">
        <v>1.3888888888888889E-3</v>
      </c>
      <c r="I41" s="1" t="s">
        <v>56</v>
      </c>
      <c r="J41" s="6">
        <f>MAX(J37:U37)</f>
        <v>5.694444444444513E-2</v>
      </c>
      <c r="K41" s="1"/>
      <c r="N41" s="1"/>
      <c r="O41" s="1"/>
      <c r="P41" s="1"/>
      <c r="Q41" s="1"/>
      <c r="R41" s="1"/>
      <c r="S41" s="1"/>
      <c r="T41" s="1"/>
      <c r="W41" s="1"/>
      <c r="X41" s="1">
        <v>3</v>
      </c>
    </row>
    <row r="42" spans="7:24" x14ac:dyDescent="0.55000000000000004">
      <c r="G42" s="1" t="s">
        <v>3</v>
      </c>
      <c r="H42" s="6">
        <v>1.1805555555555555E-2</v>
      </c>
      <c r="I42" s="1" t="s">
        <v>57</v>
      </c>
      <c r="J42" s="6">
        <f>MIN(J37:U37)</f>
        <v>2.7083333333333293E-2</v>
      </c>
      <c r="W42" s="1">
        <v>5</v>
      </c>
      <c r="X42" s="1"/>
    </row>
    <row r="43" spans="7:24" x14ac:dyDescent="0.55000000000000004">
      <c r="G43" s="1" t="s">
        <v>4</v>
      </c>
      <c r="H43" s="6">
        <v>2.7777777777777779E-3</v>
      </c>
      <c r="I43" s="1" t="s">
        <v>58</v>
      </c>
      <c r="J43" s="6">
        <f>MAX(Q37:T37)</f>
        <v>3.819444444444503E-2</v>
      </c>
      <c r="W43" s="1">
        <v>6</v>
      </c>
      <c r="X43" s="1"/>
    </row>
    <row r="44" spans="7:24" x14ac:dyDescent="0.55000000000000004">
      <c r="G44" s="1" t="s">
        <v>5</v>
      </c>
      <c r="H44" s="6">
        <v>3.472222222222222E-3</v>
      </c>
      <c r="I44" s="1" t="s">
        <v>59</v>
      </c>
      <c r="J44" s="6">
        <f>MIN(Q37:T37)</f>
        <v>2.7083333333333293E-2</v>
      </c>
      <c r="W44" s="1"/>
      <c r="X44" s="1">
        <v>4</v>
      </c>
    </row>
    <row r="45" spans="7:24" x14ac:dyDescent="0.55000000000000004">
      <c r="G45" s="1" t="s">
        <v>4</v>
      </c>
      <c r="H45" s="6">
        <v>6.9444444444444447E-4</v>
      </c>
      <c r="I45" s="1" t="s">
        <v>60</v>
      </c>
      <c r="J45" s="6">
        <f>MAX(J37:P37,U37)</f>
        <v>5.694444444444513E-2</v>
      </c>
      <c r="W45" s="1">
        <v>7</v>
      </c>
      <c r="X45" s="1"/>
    </row>
    <row r="46" spans="7:24" x14ac:dyDescent="0.55000000000000004">
      <c r="G46" s="1" t="s">
        <v>10</v>
      </c>
      <c r="H46" s="6">
        <v>2.7777777777777779E-3</v>
      </c>
      <c r="I46" s="1" t="s">
        <v>61</v>
      </c>
      <c r="J46" s="6">
        <f>MIN(J37:P37,U37)</f>
        <v>3.8194444444444364E-2</v>
      </c>
      <c r="W46" s="1">
        <v>8</v>
      </c>
      <c r="X46" s="1"/>
    </row>
    <row r="47" spans="7:24" x14ac:dyDescent="0.55000000000000004">
      <c r="G47" s="1" t="s">
        <v>6</v>
      </c>
      <c r="H47" s="6">
        <v>2.0833333333333333E-3</v>
      </c>
      <c r="J47" s="1"/>
      <c r="W47" s="1"/>
      <c r="X47" s="1"/>
    </row>
    <row r="48" spans="7:24" x14ac:dyDescent="0.55000000000000004">
      <c r="G48" s="1" t="s">
        <v>7</v>
      </c>
      <c r="H48" s="6">
        <v>2.0833333333333333E-3</v>
      </c>
      <c r="I48" s="1" t="s">
        <v>50</v>
      </c>
      <c r="J48" s="6">
        <f>기존!J38-개선!J38</f>
        <v>1.0995370370366145E-3</v>
      </c>
      <c r="K48" s="1" t="s">
        <v>65</v>
      </c>
      <c r="W48" s="1" t="s">
        <v>46</v>
      </c>
      <c r="X48" s="1"/>
    </row>
    <row r="49" spans="9:24" x14ac:dyDescent="0.55000000000000004">
      <c r="I49" s="1" t="s">
        <v>51</v>
      </c>
      <c r="J49" s="6">
        <v>5.5555555555555558E-3</v>
      </c>
      <c r="K49" s="1" t="s">
        <v>67</v>
      </c>
      <c r="W49" s="1">
        <v>1</v>
      </c>
      <c r="X49" s="1"/>
    </row>
    <row r="50" spans="9:24" x14ac:dyDescent="0.55000000000000004">
      <c r="I50" s="1" t="s">
        <v>62</v>
      </c>
      <c r="J50" s="16" t="s">
        <v>63</v>
      </c>
      <c r="K50" s="1" t="s">
        <v>64</v>
      </c>
      <c r="W50" s="1">
        <v>2</v>
      </c>
      <c r="X50" s="1"/>
    </row>
    <row r="51" spans="9:24" x14ac:dyDescent="0.55000000000000004">
      <c r="I51" s="1" t="s">
        <v>70</v>
      </c>
      <c r="J51" s="17" t="s">
        <v>76</v>
      </c>
      <c r="K51" s="1" t="s">
        <v>77</v>
      </c>
      <c r="W51" s="1">
        <v>3</v>
      </c>
      <c r="X51" s="1"/>
    </row>
    <row r="52" spans="9:24" x14ac:dyDescent="0.55000000000000004">
      <c r="I52" s="1" t="s">
        <v>71</v>
      </c>
      <c r="J52" s="6">
        <f>기존!J42-개선!J42</f>
        <v>4.8611111111107608E-3</v>
      </c>
      <c r="K52" s="1" t="s">
        <v>66</v>
      </c>
      <c r="W52" s="1"/>
      <c r="X52" s="1">
        <v>1</v>
      </c>
    </row>
    <row r="53" spans="9:24" x14ac:dyDescent="0.55000000000000004">
      <c r="I53" s="1" t="s">
        <v>72</v>
      </c>
      <c r="J53" s="6">
        <f>기존!J43-개선!J43</f>
        <v>4.8611111111105387E-3</v>
      </c>
      <c r="K53" s="1" t="s">
        <v>66</v>
      </c>
      <c r="W53" s="1">
        <v>4</v>
      </c>
      <c r="X53" s="1"/>
    </row>
    <row r="54" spans="9:24" x14ac:dyDescent="0.55000000000000004">
      <c r="I54" s="1" t="s">
        <v>73</v>
      </c>
      <c r="J54" s="6">
        <f>기존!J44-개선!J44</f>
        <v>4.8611111111107608E-3</v>
      </c>
      <c r="K54" s="1" t="s">
        <v>66</v>
      </c>
      <c r="W54" s="1"/>
      <c r="X54" s="1">
        <v>2</v>
      </c>
    </row>
    <row r="55" spans="9:24" x14ac:dyDescent="0.55000000000000004">
      <c r="I55" s="1" t="s">
        <v>74</v>
      </c>
      <c r="J55" s="17" t="s">
        <v>76</v>
      </c>
      <c r="K55" s="1" t="s">
        <v>77</v>
      </c>
      <c r="W55" s="1"/>
      <c r="X55" s="1">
        <v>3</v>
      </c>
    </row>
    <row r="56" spans="9:24" x14ac:dyDescent="0.55000000000000004">
      <c r="I56" s="1" t="s">
        <v>75</v>
      </c>
      <c r="J56" s="6">
        <f>기존!J46-개선!J46</f>
        <v>0</v>
      </c>
      <c r="K56" s="1" t="s">
        <v>78</v>
      </c>
      <c r="W56" s="1">
        <v>5</v>
      </c>
      <c r="X56" s="1"/>
    </row>
    <row r="57" spans="9:24" x14ac:dyDescent="0.55000000000000004">
      <c r="W57" s="1">
        <v>6</v>
      </c>
      <c r="X57" s="1"/>
    </row>
    <row r="58" spans="9:24" x14ac:dyDescent="0.55000000000000004">
      <c r="W58" s="1"/>
      <c r="X58" s="1">
        <v>4</v>
      </c>
    </row>
    <row r="59" spans="9:24" x14ac:dyDescent="0.55000000000000004">
      <c r="W59" s="1">
        <v>7</v>
      </c>
      <c r="X59" s="1"/>
    </row>
    <row r="60" spans="9:24" x14ac:dyDescent="0.55000000000000004">
      <c r="W60" s="1">
        <v>8</v>
      </c>
      <c r="X60" s="1"/>
    </row>
  </sheetData>
  <mergeCells count="3">
    <mergeCell ref="B6:F6"/>
    <mergeCell ref="B7:C7"/>
    <mergeCell ref="E7:F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D390-A794-463F-BA2D-3D0D704AB058}">
  <dimension ref="B4:X60"/>
  <sheetViews>
    <sheetView tabSelected="1" topLeftCell="B1" zoomScale="70" zoomScaleNormal="40" workbookViewId="0">
      <selection activeCell="W49" sqref="W49:X60"/>
    </sheetView>
  </sheetViews>
  <sheetFormatPr defaultRowHeight="17.600000000000001" x14ac:dyDescent="0.55000000000000004"/>
  <cols>
    <col min="2" max="2" width="17.640625" bestFit="1" customWidth="1"/>
    <col min="5" max="5" width="17.640625" bestFit="1" customWidth="1"/>
    <col min="7" max="7" width="17.85546875" bestFit="1" customWidth="1"/>
    <col min="9" max="9" width="20.5703125" bestFit="1" customWidth="1"/>
    <col min="23" max="23" width="16.5" bestFit="1" customWidth="1"/>
  </cols>
  <sheetData>
    <row r="4" spans="2:21" x14ac:dyDescent="0.55000000000000004">
      <c r="G4" s="1"/>
      <c r="H4" s="1"/>
      <c r="I4" s="1"/>
      <c r="J4" s="1"/>
      <c r="K4" s="1"/>
      <c r="L4" s="1"/>
      <c r="M4" s="1"/>
      <c r="N4" s="1"/>
      <c r="O4" s="1"/>
    </row>
    <row r="5" spans="2:21" x14ac:dyDescent="0.55000000000000004">
      <c r="G5" s="1"/>
      <c r="H5" s="1"/>
      <c r="I5" s="1" t="s">
        <v>37</v>
      </c>
      <c r="J5" s="1" t="s">
        <v>38</v>
      </c>
      <c r="K5" s="1" t="s">
        <v>40</v>
      </c>
      <c r="L5" s="1"/>
      <c r="P5" s="1"/>
      <c r="Q5" s="1"/>
      <c r="R5" s="1"/>
      <c r="S5" s="1"/>
      <c r="T5" s="1"/>
      <c r="U5" s="1"/>
    </row>
    <row r="6" spans="2:21" x14ac:dyDescent="0.55000000000000004">
      <c r="B6" s="15" t="s">
        <v>35</v>
      </c>
      <c r="C6" s="15"/>
      <c r="D6" s="15"/>
      <c r="E6" s="15"/>
      <c r="F6" s="15"/>
      <c r="G6" s="1"/>
      <c r="H6" s="1" t="s">
        <v>12</v>
      </c>
      <c r="I6" s="1" t="s">
        <v>15</v>
      </c>
      <c r="J6" s="1" t="s">
        <v>39</v>
      </c>
      <c r="K6" s="1" t="s">
        <v>41</v>
      </c>
      <c r="L6" s="1"/>
      <c r="P6" s="1"/>
      <c r="Q6" s="1" t="s">
        <v>16</v>
      </c>
      <c r="R6" s="1"/>
      <c r="S6" s="1" t="s">
        <v>18</v>
      </c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13</v>
      </c>
      <c r="I7" s="1" t="s">
        <v>14</v>
      </c>
      <c r="J7" s="1" t="s">
        <v>42</v>
      </c>
      <c r="K7" s="12">
        <f>60/8</f>
        <v>7.5</v>
      </c>
      <c r="L7" s="1"/>
      <c r="P7" s="1"/>
      <c r="Q7" s="1" t="s">
        <v>25</v>
      </c>
      <c r="R7" s="1"/>
      <c r="S7" s="1" t="s">
        <v>19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/>
      <c r="I8" s="1"/>
      <c r="J8" s="1"/>
      <c r="K8" s="1"/>
      <c r="L8" s="1"/>
      <c r="P8" s="1"/>
      <c r="Q8" s="1" t="s">
        <v>17</v>
      </c>
      <c r="R8" s="1"/>
      <c r="S8" s="1" t="s">
        <v>15</v>
      </c>
      <c r="T8" s="1"/>
      <c r="U8" s="1"/>
    </row>
    <row r="9" spans="2:21" x14ac:dyDescent="0.55000000000000004">
      <c r="B9" s="2" t="s">
        <v>8</v>
      </c>
      <c r="C9" s="1">
        <v>5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26</v>
      </c>
      <c r="R9" s="1"/>
      <c r="S9" s="1"/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 t="s">
        <v>20</v>
      </c>
      <c r="I10" s="1" t="s">
        <v>21</v>
      </c>
      <c r="J10" s="1"/>
      <c r="K10" s="1"/>
      <c r="L10" s="1"/>
      <c r="P10" s="1"/>
      <c r="Q10" s="1"/>
      <c r="R10" s="1"/>
      <c r="S10" s="1"/>
      <c r="T10" s="1"/>
      <c r="U10" s="1"/>
    </row>
    <row r="11" spans="2:21" x14ac:dyDescent="0.55000000000000004">
      <c r="B11" s="3" t="s">
        <v>9</v>
      </c>
      <c r="C11" s="1">
        <v>8</v>
      </c>
      <c r="D11" s="1"/>
      <c r="E11" s="3" t="s">
        <v>9</v>
      </c>
      <c r="F11" s="1">
        <v>0</v>
      </c>
      <c r="G11" s="1"/>
      <c r="H11" s="1"/>
      <c r="I11" s="1" t="s">
        <v>24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23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15</v>
      </c>
      <c r="D13" s="1"/>
      <c r="E13" s="1" t="s">
        <v>3</v>
      </c>
      <c r="F13" s="1">
        <v>17</v>
      </c>
      <c r="H13" s="1"/>
      <c r="I13" s="1"/>
      <c r="J13" s="1"/>
      <c r="K13" s="1"/>
      <c r="L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4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4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4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4" x14ac:dyDescent="0.55000000000000004">
      <c r="B20" s="1" t="s">
        <v>22</v>
      </c>
      <c r="C20" s="1">
        <f>SUM(C8:C19)</f>
        <v>63</v>
      </c>
      <c r="D20" s="1"/>
      <c r="E20" s="1" t="s">
        <v>22</v>
      </c>
      <c r="F20" s="1">
        <f>SUM(F8:F19)</f>
        <v>51</v>
      </c>
    </row>
    <row r="21" spans="2:24" x14ac:dyDescent="0.55000000000000004">
      <c r="B21" s="1" t="s">
        <v>28</v>
      </c>
      <c r="C21" s="1">
        <f>SUM(C9:C19)</f>
        <v>55</v>
      </c>
      <c r="D21" s="1"/>
      <c r="E21" s="1" t="s">
        <v>28</v>
      </c>
      <c r="F21" s="1">
        <f>SUM(F9:F19)</f>
        <v>39</v>
      </c>
    </row>
    <row r="22" spans="2:24" x14ac:dyDescent="0.55000000000000004">
      <c r="W22" s="1" t="s">
        <v>44</v>
      </c>
      <c r="X22" s="1" t="s">
        <v>45</v>
      </c>
    </row>
    <row r="23" spans="2:24" x14ac:dyDescent="0.55000000000000004">
      <c r="J23" t="s">
        <v>29</v>
      </c>
      <c r="W23" s="1" t="s">
        <v>43</v>
      </c>
      <c r="X23" s="1"/>
    </row>
    <row r="24" spans="2:24" x14ac:dyDescent="0.55000000000000004">
      <c r="J24" s="4">
        <v>1</v>
      </c>
      <c r="K24" s="4">
        <v>2</v>
      </c>
      <c r="L24" s="5">
        <v>1</v>
      </c>
      <c r="M24" s="4">
        <v>3</v>
      </c>
      <c r="N24" s="4">
        <v>4</v>
      </c>
      <c r="O24" s="5">
        <v>2</v>
      </c>
      <c r="P24" s="4">
        <v>5</v>
      </c>
      <c r="Q24" s="4">
        <v>6</v>
      </c>
      <c r="R24" s="5">
        <v>3</v>
      </c>
      <c r="S24" s="4">
        <v>7</v>
      </c>
      <c r="T24" s="4">
        <v>8</v>
      </c>
      <c r="U24" s="5">
        <v>4</v>
      </c>
      <c r="W24" s="1">
        <v>12</v>
      </c>
      <c r="X24" s="1">
        <v>12</v>
      </c>
    </row>
    <row r="25" spans="2:24" x14ac:dyDescent="0.55000000000000004">
      <c r="I25" s="1" t="s">
        <v>27</v>
      </c>
      <c r="J25" s="6">
        <v>0.375</v>
      </c>
      <c r="K25" s="6">
        <v>0.37847222222222221</v>
      </c>
      <c r="L25" s="6">
        <v>0.38194444444444398</v>
      </c>
      <c r="M25" s="6">
        <v>0.38541666666666669</v>
      </c>
      <c r="N25" s="6">
        <v>0.38888888888888901</v>
      </c>
      <c r="O25" s="6">
        <v>0.39236111111111099</v>
      </c>
      <c r="P25" s="6">
        <v>0.39583333333333298</v>
      </c>
      <c r="Q25" s="6">
        <v>0.39930555555555602</v>
      </c>
      <c r="R25" s="6">
        <v>0.40277777777777801</v>
      </c>
      <c r="S25" s="6">
        <v>0.40625</v>
      </c>
      <c r="T25" s="6">
        <v>0.40972222222222199</v>
      </c>
      <c r="U25" s="6">
        <v>0.41319444444444398</v>
      </c>
      <c r="W25" s="1">
        <v>123</v>
      </c>
      <c r="X25" s="1">
        <v>2</v>
      </c>
    </row>
    <row r="26" spans="2:24" x14ac:dyDescent="0.55000000000000004">
      <c r="G26" s="2" t="s">
        <v>8</v>
      </c>
      <c r="H26" s="6">
        <v>3.472222222222222E-3</v>
      </c>
      <c r="I26" s="2" t="s">
        <v>8</v>
      </c>
      <c r="J26" s="8">
        <f t="shared" ref="J26:J36" si="0">J25+$H26</f>
        <v>0.37847222222222221</v>
      </c>
      <c r="K26" s="8">
        <f t="shared" ref="K26" si="1">K25+$H26</f>
        <v>0.38194444444444442</v>
      </c>
      <c r="L26" s="10">
        <f t="shared" ref="L26:L36" si="2">L25+$H38</f>
        <v>0.38194444444444398</v>
      </c>
      <c r="M26" s="8">
        <f t="shared" ref="M26:N31" si="3">M25+$H26</f>
        <v>0.3888888888888889</v>
      </c>
      <c r="N26" s="8">
        <f t="shared" si="3"/>
        <v>0.39236111111111122</v>
      </c>
      <c r="O26" s="10">
        <f t="shared" ref="O26:O33" si="4">O25+$H38</f>
        <v>0.39236111111111099</v>
      </c>
      <c r="P26" s="8">
        <f t="shared" ref="P26:Q31" si="5">P25+$H26</f>
        <v>0.39930555555555519</v>
      </c>
      <c r="Q26" s="8">
        <f t="shared" si="5"/>
        <v>0.40277777777777823</v>
      </c>
      <c r="R26" s="10">
        <f t="shared" ref="R26:R33" si="6">R25+$H38</f>
        <v>0.40277777777777801</v>
      </c>
      <c r="S26" s="8">
        <f t="shared" ref="S26:T31" si="7">S25+$H26</f>
        <v>0.40972222222222221</v>
      </c>
      <c r="T26" s="8">
        <f t="shared" si="7"/>
        <v>0.4131944444444442</v>
      </c>
      <c r="U26" s="10">
        <f t="shared" ref="U26:U33" si="8">U25+$H38</f>
        <v>0.41319444444444398</v>
      </c>
      <c r="W26" s="1">
        <v>234</v>
      </c>
      <c r="X26" s="1">
        <v>2</v>
      </c>
    </row>
    <row r="27" spans="2:24" x14ac:dyDescent="0.55000000000000004">
      <c r="G27" s="3" t="s">
        <v>4</v>
      </c>
      <c r="H27" s="6">
        <v>1.3888888888888889E-3</v>
      </c>
      <c r="I27" s="3" t="s">
        <v>4</v>
      </c>
      <c r="J27" s="7">
        <f t="shared" si="0"/>
        <v>0.37986111111111109</v>
      </c>
      <c r="K27" s="7">
        <f t="shared" ref="K27" si="9">K26+$H27</f>
        <v>0.3833333333333333</v>
      </c>
      <c r="L27" s="11">
        <f t="shared" si="2"/>
        <v>0.38194444444444398</v>
      </c>
      <c r="M27" s="7">
        <f t="shared" si="3"/>
        <v>0.39027777777777778</v>
      </c>
      <c r="N27" s="7">
        <f t="shared" si="3"/>
        <v>0.3937500000000001</v>
      </c>
      <c r="O27" s="11">
        <f t="shared" si="4"/>
        <v>0.39236111111111099</v>
      </c>
      <c r="P27" s="7">
        <f t="shared" si="5"/>
        <v>0.40069444444444408</v>
      </c>
      <c r="Q27" s="7">
        <f t="shared" si="5"/>
        <v>0.40416666666666712</v>
      </c>
      <c r="R27" s="11">
        <f t="shared" si="6"/>
        <v>0.40277777777777801</v>
      </c>
      <c r="S27" s="7">
        <f t="shared" si="7"/>
        <v>0.41111111111111109</v>
      </c>
      <c r="T27" s="7">
        <f t="shared" si="7"/>
        <v>0.41458333333333308</v>
      </c>
      <c r="U27" s="11">
        <f t="shared" si="8"/>
        <v>0.41319444444444398</v>
      </c>
      <c r="W27" s="1">
        <v>34</v>
      </c>
      <c r="X27" s="1">
        <v>23</v>
      </c>
    </row>
    <row r="28" spans="2:24" x14ac:dyDescent="0.55000000000000004">
      <c r="G28" s="3" t="s">
        <v>9</v>
      </c>
      <c r="H28" s="6">
        <v>5.5555555555555558E-3</v>
      </c>
      <c r="I28" s="3" t="s">
        <v>9</v>
      </c>
      <c r="J28" s="7">
        <f t="shared" si="0"/>
        <v>0.38541666666666663</v>
      </c>
      <c r="K28" s="7">
        <f t="shared" ref="K28" si="10">K27+$H28</f>
        <v>0.38888888888888884</v>
      </c>
      <c r="L28" s="11">
        <f t="shared" si="2"/>
        <v>0.38194444444444398</v>
      </c>
      <c r="M28" s="7">
        <f t="shared" si="3"/>
        <v>0.39583333333333331</v>
      </c>
      <c r="N28" s="7">
        <f t="shared" si="3"/>
        <v>0.39930555555555564</v>
      </c>
      <c r="O28" s="11">
        <f t="shared" si="4"/>
        <v>0.39236111111111099</v>
      </c>
      <c r="P28" s="7">
        <f t="shared" si="5"/>
        <v>0.40624999999999961</v>
      </c>
      <c r="Q28" s="7">
        <f t="shared" si="5"/>
        <v>0.40972222222222265</v>
      </c>
      <c r="R28" s="11">
        <f t="shared" si="6"/>
        <v>0.40277777777777801</v>
      </c>
      <c r="S28" s="7">
        <f t="shared" si="7"/>
        <v>0.41666666666666663</v>
      </c>
      <c r="T28" s="7">
        <f t="shared" si="7"/>
        <v>0.42013888888888862</v>
      </c>
      <c r="U28" s="11">
        <f t="shared" si="8"/>
        <v>0.41319444444444398</v>
      </c>
      <c r="W28" s="1">
        <v>345</v>
      </c>
      <c r="X28" s="1">
        <v>3</v>
      </c>
    </row>
    <row r="29" spans="2:24" x14ac:dyDescent="0.55000000000000004">
      <c r="G29" s="3" t="s">
        <v>4</v>
      </c>
      <c r="H29" s="6">
        <v>2.0833333333333333E-3</v>
      </c>
      <c r="I29" s="3" t="s">
        <v>4</v>
      </c>
      <c r="J29" s="7">
        <f t="shared" si="0"/>
        <v>0.38749999999999996</v>
      </c>
      <c r="K29" s="7">
        <f t="shared" ref="K29" si="11">K28+$H29</f>
        <v>0.39097222222222217</v>
      </c>
      <c r="L29" s="11">
        <f t="shared" si="2"/>
        <v>0.38333333333333286</v>
      </c>
      <c r="M29" s="7">
        <f t="shared" si="3"/>
        <v>0.39791666666666664</v>
      </c>
      <c r="N29" s="7">
        <f t="shared" si="3"/>
        <v>0.40138888888888896</v>
      </c>
      <c r="O29" s="11">
        <f t="shared" si="4"/>
        <v>0.39374999999999988</v>
      </c>
      <c r="P29" s="7">
        <f t="shared" si="5"/>
        <v>0.40833333333333294</v>
      </c>
      <c r="Q29" s="7">
        <f t="shared" si="5"/>
        <v>0.41180555555555598</v>
      </c>
      <c r="R29" s="11">
        <f t="shared" si="6"/>
        <v>0.4041666666666669</v>
      </c>
      <c r="S29" s="7">
        <f t="shared" si="7"/>
        <v>0.41874999999999996</v>
      </c>
      <c r="T29" s="7">
        <f t="shared" si="7"/>
        <v>0.42222222222222194</v>
      </c>
      <c r="U29" s="11">
        <f t="shared" si="8"/>
        <v>0.41458333333333286</v>
      </c>
      <c r="W29" s="1">
        <v>456</v>
      </c>
      <c r="X29" s="1">
        <v>3</v>
      </c>
    </row>
    <row r="30" spans="2:24" x14ac:dyDescent="0.55000000000000004">
      <c r="G30" s="13" t="s">
        <v>3</v>
      </c>
      <c r="H30" s="14">
        <v>1.0416666666666666E-2</v>
      </c>
      <c r="I30" s="13" t="s">
        <v>3</v>
      </c>
      <c r="J30" s="14">
        <f>J29+$H30</f>
        <v>0.39791666666666664</v>
      </c>
      <c r="K30" s="14">
        <f t="shared" ref="K30" si="12">K29+$H30</f>
        <v>0.40138888888888885</v>
      </c>
      <c r="L30" s="14">
        <f t="shared" si="2"/>
        <v>0.39513888888888843</v>
      </c>
      <c r="M30" s="14">
        <f t="shared" si="3"/>
        <v>0.40833333333333333</v>
      </c>
      <c r="N30" s="14">
        <f t="shared" si="3"/>
        <v>0.41180555555555565</v>
      </c>
      <c r="O30" s="14">
        <f t="shared" si="4"/>
        <v>0.40555555555555545</v>
      </c>
      <c r="P30" s="14">
        <f t="shared" si="5"/>
        <v>0.41874999999999962</v>
      </c>
      <c r="Q30" s="14">
        <f t="shared" si="5"/>
        <v>0.42222222222222267</v>
      </c>
      <c r="R30" s="14">
        <f t="shared" si="6"/>
        <v>0.41597222222222247</v>
      </c>
      <c r="S30" s="14">
        <f t="shared" si="7"/>
        <v>0.42916666666666664</v>
      </c>
      <c r="T30" s="14">
        <f t="shared" si="7"/>
        <v>0.43263888888888863</v>
      </c>
      <c r="U30" s="14">
        <f t="shared" si="8"/>
        <v>0.42638888888888843</v>
      </c>
      <c r="W30" s="1">
        <v>56</v>
      </c>
      <c r="X30" s="1">
        <v>34</v>
      </c>
    </row>
    <row r="31" spans="2:24" x14ac:dyDescent="0.55000000000000004">
      <c r="G31" s="1" t="s">
        <v>4</v>
      </c>
      <c r="H31" s="6">
        <v>2.0833333333333333E-3</v>
      </c>
      <c r="I31" s="1" t="s">
        <v>4</v>
      </c>
      <c r="J31" s="6">
        <f t="shared" si="0"/>
        <v>0.39999999999999997</v>
      </c>
      <c r="K31" s="6">
        <f t="shared" ref="K31" si="13">K30+$H31</f>
        <v>0.40347222222222218</v>
      </c>
      <c r="L31" s="6">
        <f t="shared" si="2"/>
        <v>0.3979166666666662</v>
      </c>
      <c r="M31" s="6">
        <f t="shared" si="3"/>
        <v>0.41041666666666665</v>
      </c>
      <c r="N31" s="6">
        <f t="shared" si="3"/>
        <v>0.41388888888888897</v>
      </c>
      <c r="O31" s="6">
        <f t="shared" si="4"/>
        <v>0.40833333333333321</v>
      </c>
      <c r="P31" s="6">
        <f t="shared" si="5"/>
        <v>0.42083333333333295</v>
      </c>
      <c r="Q31" s="6">
        <f t="shared" si="5"/>
        <v>0.42430555555555599</v>
      </c>
      <c r="R31" s="6">
        <f t="shared" si="6"/>
        <v>0.41875000000000023</v>
      </c>
      <c r="S31" s="6">
        <f t="shared" si="7"/>
        <v>0.43124999999999997</v>
      </c>
      <c r="T31" s="6">
        <f t="shared" si="7"/>
        <v>0.43472222222222195</v>
      </c>
      <c r="U31" s="6">
        <f t="shared" si="8"/>
        <v>0.4291666666666662</v>
      </c>
      <c r="W31" s="1">
        <v>567</v>
      </c>
      <c r="X31" s="1">
        <v>4</v>
      </c>
    </row>
    <row r="32" spans="2:24" x14ac:dyDescent="0.55000000000000004">
      <c r="G32" s="13" t="s">
        <v>5</v>
      </c>
      <c r="H32" s="14">
        <v>3.472222222222222E-3</v>
      </c>
      <c r="I32" s="13" t="s">
        <v>5</v>
      </c>
      <c r="J32" s="14">
        <f>L32+$H32</f>
        <v>0.40486111111111062</v>
      </c>
      <c r="K32" s="14">
        <f>J32+$H32</f>
        <v>0.40833333333333283</v>
      </c>
      <c r="L32" s="14">
        <f t="shared" si="2"/>
        <v>0.40138888888888841</v>
      </c>
      <c r="M32" s="14">
        <f>O32+$H32</f>
        <v>0.41527777777777763</v>
      </c>
      <c r="N32" s="14">
        <f>M32+$H32</f>
        <v>0.41874999999999984</v>
      </c>
      <c r="O32" s="14">
        <f t="shared" si="4"/>
        <v>0.41180555555555542</v>
      </c>
      <c r="P32" s="14">
        <f>R32+$H32</f>
        <v>0.42569444444444465</v>
      </c>
      <c r="Q32" s="14">
        <f>P32+$H32</f>
        <v>0.42916666666666686</v>
      </c>
      <c r="R32" s="14">
        <f t="shared" si="6"/>
        <v>0.42222222222222244</v>
      </c>
      <c r="S32" s="14">
        <f>U32+$H32</f>
        <v>0.43611111111111062</v>
      </c>
      <c r="T32" s="14">
        <f>S32+$H32</f>
        <v>0.43958333333333283</v>
      </c>
      <c r="U32" s="14">
        <f t="shared" si="8"/>
        <v>0.43263888888888841</v>
      </c>
      <c r="W32" s="1">
        <v>678</v>
      </c>
      <c r="X32" s="1">
        <v>4</v>
      </c>
    </row>
    <row r="33" spans="7:24" x14ac:dyDescent="0.55000000000000004">
      <c r="G33" s="1" t="s">
        <v>4</v>
      </c>
      <c r="H33" s="6">
        <v>1.3888888888888889E-3</v>
      </c>
      <c r="I33" s="1" t="s">
        <v>4</v>
      </c>
      <c r="J33" s="6">
        <f t="shared" si="0"/>
        <v>0.4062499999999995</v>
      </c>
      <c r="K33" s="6">
        <f t="shared" ref="K33" si="14">K32+$H33</f>
        <v>0.40972222222222171</v>
      </c>
      <c r="L33" s="6">
        <f t="shared" si="2"/>
        <v>0.40208333333333285</v>
      </c>
      <c r="M33" s="6">
        <f t="shared" ref="M33:N36" si="15">M32+$H33</f>
        <v>0.41666666666666652</v>
      </c>
      <c r="N33" s="6">
        <f t="shared" si="15"/>
        <v>0.42013888888888873</v>
      </c>
      <c r="O33" s="6">
        <f t="shared" si="4"/>
        <v>0.41249999999999987</v>
      </c>
      <c r="P33" s="6">
        <f t="shared" ref="P33:Q36" si="16">P32+$H33</f>
        <v>0.42708333333333354</v>
      </c>
      <c r="Q33" s="6">
        <f t="shared" si="16"/>
        <v>0.43055555555555575</v>
      </c>
      <c r="R33" s="6">
        <f t="shared" si="6"/>
        <v>0.42291666666666689</v>
      </c>
      <c r="S33" s="6">
        <f t="shared" ref="S33:T36" si="17">S32+$H33</f>
        <v>0.4374999999999995</v>
      </c>
      <c r="T33" s="6">
        <f t="shared" si="17"/>
        <v>0.44097222222222171</v>
      </c>
      <c r="U33" s="6">
        <f t="shared" si="8"/>
        <v>0.43333333333333285</v>
      </c>
      <c r="W33" s="1"/>
      <c r="X33" s="1"/>
    </row>
    <row r="34" spans="7:24" x14ac:dyDescent="0.55000000000000004">
      <c r="G34" s="13" t="s">
        <v>10</v>
      </c>
      <c r="H34" s="14">
        <v>3.472222222222222E-3</v>
      </c>
      <c r="I34" s="13" t="s">
        <v>10</v>
      </c>
      <c r="J34" s="14">
        <f t="shared" si="0"/>
        <v>0.40972222222222171</v>
      </c>
      <c r="K34" s="14">
        <f t="shared" ref="K34" si="18">K33+$H34</f>
        <v>0.41319444444444392</v>
      </c>
      <c r="L34" s="14">
        <f t="shared" si="2"/>
        <v>0.40486111111111062</v>
      </c>
      <c r="M34" s="14">
        <f t="shared" si="15"/>
        <v>0.42013888888888873</v>
      </c>
      <c r="N34" s="14">
        <f t="shared" si="15"/>
        <v>0.42361111111111094</v>
      </c>
      <c r="O34" s="14">
        <f>K34+$H46</f>
        <v>0.41597222222222169</v>
      </c>
      <c r="P34" s="14">
        <f t="shared" si="16"/>
        <v>0.43055555555555575</v>
      </c>
      <c r="Q34" s="14">
        <f t="shared" si="16"/>
        <v>0.43402777777777796</v>
      </c>
      <c r="R34" s="14">
        <f>N34+$H46</f>
        <v>0.42638888888888871</v>
      </c>
      <c r="S34" s="14">
        <f t="shared" si="17"/>
        <v>0.44097222222222171</v>
      </c>
      <c r="T34" s="14">
        <f t="shared" si="17"/>
        <v>0.44444444444444392</v>
      </c>
      <c r="U34" s="14">
        <f>Q34+$H46</f>
        <v>0.43680555555555572</v>
      </c>
      <c r="W34" s="1" t="s">
        <v>54</v>
      </c>
      <c r="X34" s="1"/>
    </row>
    <row r="35" spans="7:24" x14ac:dyDescent="0.55000000000000004">
      <c r="G35" s="1" t="s">
        <v>6</v>
      </c>
      <c r="H35" s="6">
        <v>1.3888888888888889E-3</v>
      </c>
      <c r="I35" s="1" t="s">
        <v>6</v>
      </c>
      <c r="J35" s="6">
        <f t="shared" si="0"/>
        <v>0.41111111111111059</v>
      </c>
      <c r="K35" s="6">
        <f t="shared" ref="K35" si="19">K34+$H35</f>
        <v>0.4145833333333328</v>
      </c>
      <c r="L35" s="6">
        <f t="shared" si="2"/>
        <v>0.40694444444444394</v>
      </c>
      <c r="M35" s="6">
        <f t="shared" si="15"/>
        <v>0.42152777777777761</v>
      </c>
      <c r="N35" s="6">
        <f t="shared" si="15"/>
        <v>0.42499999999999982</v>
      </c>
      <c r="O35" s="6">
        <f>O34+$H47</f>
        <v>0.41805555555555501</v>
      </c>
      <c r="P35" s="6">
        <f t="shared" si="16"/>
        <v>0.43194444444444463</v>
      </c>
      <c r="Q35" s="6">
        <f t="shared" si="16"/>
        <v>0.43541666666666684</v>
      </c>
      <c r="R35" s="6">
        <f>R34+$H47</f>
        <v>0.42847222222222203</v>
      </c>
      <c r="S35" s="6">
        <f t="shared" si="17"/>
        <v>0.44236111111111059</v>
      </c>
      <c r="T35" s="6">
        <f t="shared" si="17"/>
        <v>0.4458333333333328</v>
      </c>
      <c r="U35" s="6">
        <f>U34+$H47</f>
        <v>0.43888888888888905</v>
      </c>
      <c r="W35" s="1"/>
      <c r="X35" s="1">
        <v>1</v>
      </c>
    </row>
    <row r="36" spans="7:24" x14ac:dyDescent="0.55000000000000004">
      <c r="G36" s="1" t="s">
        <v>7</v>
      </c>
      <c r="H36" s="6">
        <v>3.472222222222222E-3</v>
      </c>
      <c r="I36" s="1" t="s">
        <v>7</v>
      </c>
      <c r="J36" s="6">
        <f t="shared" si="0"/>
        <v>0.4145833333333328</v>
      </c>
      <c r="K36" s="6">
        <f t="shared" ref="K36" si="20">K35+$H36</f>
        <v>0.41805555555555501</v>
      </c>
      <c r="L36" s="6">
        <f t="shared" si="2"/>
        <v>0.40902777777777727</v>
      </c>
      <c r="M36" s="6">
        <f t="shared" si="15"/>
        <v>0.42499999999999982</v>
      </c>
      <c r="N36" s="6">
        <f t="shared" si="15"/>
        <v>0.42847222222222203</v>
      </c>
      <c r="O36" s="6">
        <f>O35+$H48</f>
        <v>0.42013888888888834</v>
      </c>
      <c r="P36" s="6">
        <f t="shared" si="16"/>
        <v>0.43541666666666684</v>
      </c>
      <c r="Q36" s="6">
        <f t="shared" si="16"/>
        <v>0.43888888888888905</v>
      </c>
      <c r="R36" s="6">
        <f>R35+$H48</f>
        <v>0.43055555555555536</v>
      </c>
      <c r="S36" s="6">
        <f t="shared" si="17"/>
        <v>0.4458333333333328</v>
      </c>
      <c r="T36" s="6">
        <f t="shared" si="17"/>
        <v>0.44930555555555501</v>
      </c>
      <c r="U36" s="6">
        <f>U35+$H48</f>
        <v>0.44097222222222238</v>
      </c>
      <c r="W36" s="1">
        <v>1</v>
      </c>
      <c r="X36" s="1"/>
    </row>
    <row r="37" spans="7:24" x14ac:dyDescent="0.55000000000000004">
      <c r="I37" s="1" t="s">
        <v>47</v>
      </c>
      <c r="J37" s="6">
        <f>J36-J25</f>
        <v>3.9583333333332804E-2</v>
      </c>
      <c r="K37" s="6">
        <f>K36-K25</f>
        <v>3.9583333333332804E-2</v>
      </c>
      <c r="L37" s="6">
        <f>L36-L25</f>
        <v>2.7083333333333293E-2</v>
      </c>
      <c r="M37" s="6">
        <f>M36-M25</f>
        <v>3.9583333333333137E-2</v>
      </c>
      <c r="N37" s="6">
        <f t="shared" ref="N37:U37" si="21">N36-N25</f>
        <v>3.9583333333333026E-2</v>
      </c>
      <c r="O37" s="6">
        <f t="shared" si="21"/>
        <v>2.7777777777777346E-2</v>
      </c>
      <c r="P37" s="6">
        <f t="shared" si="21"/>
        <v>3.9583333333333859E-2</v>
      </c>
      <c r="Q37" s="6">
        <f t="shared" si="21"/>
        <v>3.9583333333333026E-2</v>
      </c>
      <c r="R37" s="6">
        <f t="shared" si="21"/>
        <v>2.7777777777777346E-2</v>
      </c>
      <c r="S37" s="6">
        <f t="shared" si="21"/>
        <v>3.9583333333332804E-2</v>
      </c>
      <c r="T37" s="6">
        <f t="shared" si="21"/>
        <v>3.9583333333333026E-2</v>
      </c>
      <c r="U37" s="6">
        <f t="shared" si="21"/>
        <v>2.7777777777778401E-2</v>
      </c>
      <c r="V37" s="1"/>
      <c r="W37" s="1">
        <v>2</v>
      </c>
      <c r="X37" s="1"/>
    </row>
    <row r="38" spans="7:24" x14ac:dyDescent="0.55000000000000004">
      <c r="G38" s="2" t="s">
        <v>8</v>
      </c>
      <c r="H38" s="6">
        <v>0</v>
      </c>
      <c r="I38" s="1" t="s">
        <v>48</v>
      </c>
      <c r="J38" s="6">
        <f>AVERAGE(J37:U37)</f>
        <v>3.5590277777777575E-2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2</v>
      </c>
    </row>
    <row r="39" spans="7:24" x14ac:dyDescent="0.55000000000000004">
      <c r="G39" s="3" t="s">
        <v>4</v>
      </c>
      <c r="H39" s="6">
        <v>0</v>
      </c>
      <c r="I39" s="1" t="s">
        <v>49</v>
      </c>
      <c r="J39" s="6">
        <f>AVERAGE(Q37:T37)</f>
        <v>3.6631944444444051E-2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3</v>
      </c>
      <c r="X39" s="1"/>
    </row>
    <row r="40" spans="7:24" x14ac:dyDescent="0.55000000000000004">
      <c r="G40" s="3" t="s">
        <v>9</v>
      </c>
      <c r="H40" s="6">
        <v>0</v>
      </c>
      <c r="I40" s="1" t="s">
        <v>55</v>
      </c>
      <c r="J40" s="6">
        <f>AVERAGE(J37:P37,U37)</f>
        <v>3.5069444444444334E-2</v>
      </c>
      <c r="W40" s="1">
        <v>4</v>
      </c>
      <c r="X40" s="1"/>
    </row>
    <row r="41" spans="7:24" x14ac:dyDescent="0.55000000000000004">
      <c r="G41" s="3" t="s">
        <v>4</v>
      </c>
      <c r="H41" s="6">
        <v>1.3888888888888889E-3</v>
      </c>
      <c r="I41" s="1" t="s">
        <v>56</v>
      </c>
      <c r="J41" s="6">
        <f>MAX(J37:U37)</f>
        <v>3.9583333333333859E-2</v>
      </c>
      <c r="K41" s="1"/>
      <c r="L41" s="1"/>
      <c r="M41" s="1"/>
      <c r="N41" s="1"/>
      <c r="O41" s="1"/>
      <c r="P41" s="1"/>
      <c r="Q41" s="1"/>
      <c r="R41" s="1"/>
      <c r="S41" s="1"/>
      <c r="T41" s="1"/>
      <c r="W41" s="1"/>
      <c r="X41" s="1">
        <v>3</v>
      </c>
    </row>
    <row r="42" spans="7:24" x14ac:dyDescent="0.55000000000000004">
      <c r="G42" s="1" t="s">
        <v>3</v>
      </c>
      <c r="H42" s="6">
        <v>1.1805555555555555E-2</v>
      </c>
      <c r="I42" s="1" t="s">
        <v>57</v>
      </c>
      <c r="J42" s="6">
        <f>MIN(J37:U37)</f>
        <v>2.7083333333333293E-2</v>
      </c>
      <c r="W42" s="1">
        <v>5</v>
      </c>
      <c r="X42" s="1"/>
    </row>
    <row r="43" spans="7:24" x14ac:dyDescent="0.55000000000000004">
      <c r="G43" s="1" t="s">
        <v>4</v>
      </c>
      <c r="H43" s="6">
        <v>2.7777777777777779E-3</v>
      </c>
      <c r="I43" s="1" t="s">
        <v>58</v>
      </c>
      <c r="J43" s="6">
        <f>MAX(Q37:T37)</f>
        <v>3.9583333333333026E-2</v>
      </c>
      <c r="W43" s="1">
        <v>6</v>
      </c>
      <c r="X43" s="1"/>
    </row>
    <row r="44" spans="7:24" x14ac:dyDescent="0.55000000000000004">
      <c r="G44" s="1" t="s">
        <v>5</v>
      </c>
      <c r="H44" s="6">
        <v>3.472222222222222E-3</v>
      </c>
      <c r="I44" s="1" t="s">
        <v>59</v>
      </c>
      <c r="J44" s="6">
        <f>MIN(Q37:T37)</f>
        <v>2.7777777777777346E-2</v>
      </c>
      <c r="W44" s="1"/>
      <c r="X44" s="1">
        <v>4</v>
      </c>
    </row>
    <row r="45" spans="7:24" x14ac:dyDescent="0.55000000000000004">
      <c r="G45" s="1" t="s">
        <v>4</v>
      </c>
      <c r="H45" s="6">
        <v>6.9444444444444447E-4</v>
      </c>
      <c r="I45" s="1" t="s">
        <v>60</v>
      </c>
      <c r="J45" s="6">
        <f>MAX(J37:P37,U37)</f>
        <v>3.9583333333333859E-2</v>
      </c>
      <c r="W45" s="1">
        <v>7</v>
      </c>
      <c r="X45" s="1"/>
    </row>
    <row r="46" spans="7:24" x14ac:dyDescent="0.55000000000000004">
      <c r="G46" s="1" t="s">
        <v>10</v>
      </c>
      <c r="H46" s="6">
        <v>2.7777777777777779E-3</v>
      </c>
      <c r="I46" s="1" t="s">
        <v>61</v>
      </c>
      <c r="J46" s="6">
        <f>MIN(J37:P37,U37)</f>
        <v>2.7083333333333293E-2</v>
      </c>
      <c r="W46" s="1">
        <v>8</v>
      </c>
      <c r="X46" s="1"/>
    </row>
    <row r="47" spans="7:24" x14ac:dyDescent="0.55000000000000004">
      <c r="G47" s="1" t="s">
        <v>6</v>
      </c>
      <c r="H47" s="6">
        <v>2.0833333333333333E-3</v>
      </c>
      <c r="J47" s="1"/>
      <c r="W47" s="1"/>
      <c r="X47" s="1"/>
    </row>
    <row r="48" spans="7:24" x14ac:dyDescent="0.55000000000000004">
      <c r="G48" s="1" t="s">
        <v>7</v>
      </c>
      <c r="H48" s="6">
        <v>2.0833333333333333E-3</v>
      </c>
      <c r="I48" s="1" t="s">
        <v>50</v>
      </c>
      <c r="J48" s="6">
        <f>기존!J38-J38</f>
        <v>7.2916666666667448E-3</v>
      </c>
      <c r="K48" s="1" t="s">
        <v>68</v>
      </c>
      <c r="W48" s="1" t="s">
        <v>46</v>
      </c>
      <c r="X48" s="1"/>
    </row>
    <row r="49" spans="9:24" x14ac:dyDescent="0.55000000000000004">
      <c r="I49" s="1" t="s">
        <v>51</v>
      </c>
      <c r="J49" s="6">
        <v>6.9444444444444447E-4</v>
      </c>
      <c r="K49" s="1" t="s">
        <v>65</v>
      </c>
      <c r="W49" s="1"/>
      <c r="X49" s="1">
        <v>1</v>
      </c>
    </row>
    <row r="50" spans="9:24" x14ac:dyDescent="0.55000000000000004">
      <c r="I50" s="1" t="s">
        <v>62</v>
      </c>
      <c r="J50" s="6">
        <v>1.1111111111111112E-2</v>
      </c>
      <c r="K50" s="1" t="s">
        <v>69</v>
      </c>
      <c r="W50" s="1">
        <v>1</v>
      </c>
      <c r="X50" s="1"/>
    </row>
    <row r="51" spans="9:24" x14ac:dyDescent="0.55000000000000004">
      <c r="I51" s="1" t="s">
        <v>70</v>
      </c>
      <c r="J51" s="6">
        <f>기존!J41-개선2!J41</f>
        <v>1.527777777777739E-2</v>
      </c>
      <c r="K51" s="1" t="s">
        <v>79</v>
      </c>
      <c r="W51" s="1">
        <v>2</v>
      </c>
      <c r="X51" s="1"/>
    </row>
    <row r="52" spans="9:24" x14ac:dyDescent="0.55000000000000004">
      <c r="I52" s="1" t="s">
        <v>71</v>
      </c>
      <c r="J52" s="6">
        <f>기존!J42-개선2!J42</f>
        <v>4.8611111111107608E-3</v>
      </c>
      <c r="K52" s="1" t="s">
        <v>66</v>
      </c>
      <c r="W52" s="1"/>
      <c r="X52" s="1">
        <v>2</v>
      </c>
    </row>
    <row r="53" spans="9:24" x14ac:dyDescent="0.55000000000000004">
      <c r="I53" s="1" t="s">
        <v>72</v>
      </c>
      <c r="J53" s="6">
        <f>기존!J43-개선2!J43</f>
        <v>3.472222222222543E-3</v>
      </c>
      <c r="K53" s="1" t="s">
        <v>80</v>
      </c>
      <c r="W53" s="1">
        <v>3</v>
      </c>
      <c r="X53" s="1"/>
    </row>
    <row r="54" spans="9:24" x14ac:dyDescent="0.55000000000000004">
      <c r="I54" s="1" t="s">
        <v>73</v>
      </c>
      <c r="J54" s="6">
        <f>기존!J44-개선2!J44</f>
        <v>4.1666666666667074E-3</v>
      </c>
      <c r="K54" s="1" t="s">
        <v>81</v>
      </c>
      <c r="W54" s="1">
        <v>4</v>
      </c>
      <c r="X54" s="1"/>
    </row>
    <row r="55" spans="9:24" x14ac:dyDescent="0.55000000000000004">
      <c r="I55" s="1" t="s">
        <v>74</v>
      </c>
      <c r="J55" s="6">
        <f>기존!J45-개선2!J45</f>
        <v>1.527777777777739E-2</v>
      </c>
      <c r="K55" s="1" t="s">
        <v>79</v>
      </c>
      <c r="W55" s="1"/>
      <c r="X55" s="1">
        <v>3</v>
      </c>
    </row>
    <row r="56" spans="9:24" x14ac:dyDescent="0.55000000000000004">
      <c r="I56" s="1" t="s">
        <v>75</v>
      </c>
      <c r="J56" s="6">
        <f>기존!J46-개선2!J46</f>
        <v>1.1111111111111072E-2</v>
      </c>
      <c r="K56" s="1" t="s">
        <v>69</v>
      </c>
      <c r="W56" s="1">
        <v>5</v>
      </c>
      <c r="X56" s="1"/>
    </row>
    <row r="57" spans="9:24" x14ac:dyDescent="0.55000000000000004">
      <c r="W57" s="1">
        <v>6</v>
      </c>
      <c r="X57" s="1"/>
    </row>
    <row r="58" spans="9:24" x14ac:dyDescent="0.55000000000000004">
      <c r="W58" s="1"/>
      <c r="X58" s="1">
        <v>4</v>
      </c>
    </row>
    <row r="59" spans="9:24" x14ac:dyDescent="0.55000000000000004">
      <c r="W59" s="1">
        <v>7</v>
      </c>
      <c r="X59" s="1"/>
    </row>
    <row r="60" spans="9:24" x14ac:dyDescent="0.55000000000000004">
      <c r="W60" s="1">
        <v>8</v>
      </c>
      <c r="X60" s="1"/>
    </row>
  </sheetData>
  <mergeCells count="3">
    <mergeCell ref="B6:F6"/>
    <mergeCell ref="B7:C7"/>
    <mergeCell ref="E7:F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F383-B8BD-4B32-B077-232FBD82B507}">
  <dimension ref="B4:X48"/>
  <sheetViews>
    <sheetView zoomScale="67" zoomScaleNormal="76" workbookViewId="0">
      <selection activeCell="H5" sqref="H5:U16"/>
    </sheetView>
  </sheetViews>
  <sheetFormatPr defaultRowHeight="17.600000000000001" x14ac:dyDescent="0.55000000000000004"/>
  <cols>
    <col min="2" max="2" width="17.640625" bestFit="1" customWidth="1"/>
    <col min="5" max="5" width="17.640625" bestFit="1" customWidth="1"/>
    <col min="7" max="7" width="17.640625" bestFit="1" customWidth="1"/>
    <col min="9" max="9" width="17.640625" bestFit="1" customWidth="1"/>
    <col min="23" max="23" width="16.2109375" bestFit="1" customWidth="1"/>
  </cols>
  <sheetData>
    <row r="4" spans="2:21" x14ac:dyDescent="0.55000000000000004">
      <c r="G4" s="1"/>
      <c r="H4" s="1"/>
      <c r="I4" s="1"/>
      <c r="J4" s="1"/>
      <c r="K4" s="1"/>
      <c r="L4" s="1"/>
      <c r="M4" s="1"/>
      <c r="N4" s="1"/>
      <c r="O4" s="1"/>
    </row>
    <row r="5" spans="2:21" x14ac:dyDescent="0.55000000000000004">
      <c r="G5" s="1"/>
      <c r="H5" s="1"/>
      <c r="I5" s="1" t="s">
        <v>37</v>
      </c>
      <c r="J5" s="1" t="s">
        <v>38</v>
      </c>
      <c r="K5" s="1" t="s">
        <v>40</v>
      </c>
      <c r="L5" s="1"/>
      <c r="P5" s="1"/>
      <c r="Q5" s="1"/>
      <c r="R5" s="1"/>
      <c r="S5" s="1"/>
      <c r="T5" s="1"/>
      <c r="U5" s="1"/>
    </row>
    <row r="6" spans="2:21" x14ac:dyDescent="0.55000000000000004">
      <c r="B6" s="15" t="s">
        <v>11</v>
      </c>
      <c r="C6" s="15"/>
      <c r="D6" s="15"/>
      <c r="E6" s="15"/>
      <c r="F6" s="15"/>
      <c r="G6" s="1"/>
      <c r="H6" s="1" t="s">
        <v>12</v>
      </c>
      <c r="I6" s="1" t="s">
        <v>15</v>
      </c>
      <c r="J6" s="1" t="s">
        <v>39</v>
      </c>
      <c r="K6" s="1" t="s">
        <v>41</v>
      </c>
      <c r="L6" s="1"/>
      <c r="P6" s="1"/>
      <c r="Q6" s="1" t="s">
        <v>16</v>
      </c>
      <c r="R6" s="1"/>
      <c r="S6" s="1" t="s">
        <v>18</v>
      </c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13</v>
      </c>
      <c r="I7" s="1" t="s">
        <v>14</v>
      </c>
      <c r="J7" s="1" t="s">
        <v>42</v>
      </c>
      <c r="K7" s="12">
        <f>60/8</f>
        <v>7.5</v>
      </c>
      <c r="L7" s="1"/>
      <c r="P7" s="1"/>
      <c r="Q7" s="1" t="s">
        <v>25</v>
      </c>
      <c r="R7" s="1"/>
      <c r="S7" s="1" t="s">
        <v>19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/>
      <c r="I8" s="1"/>
      <c r="J8" s="1"/>
      <c r="K8" s="1"/>
      <c r="L8" s="1"/>
      <c r="P8" s="1"/>
      <c r="Q8" s="1" t="s">
        <v>17</v>
      </c>
      <c r="R8" s="1"/>
      <c r="S8" s="1" t="s">
        <v>15</v>
      </c>
      <c r="T8" s="1"/>
      <c r="U8" s="1"/>
    </row>
    <row r="9" spans="2:21" x14ac:dyDescent="0.55000000000000004">
      <c r="B9" s="2" t="s">
        <v>8</v>
      </c>
      <c r="C9" s="1">
        <v>7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26</v>
      </c>
      <c r="R9" s="1"/>
      <c r="S9" s="1"/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 t="s">
        <v>20</v>
      </c>
      <c r="I10" s="1" t="s">
        <v>21</v>
      </c>
      <c r="J10" s="1"/>
      <c r="K10" s="1"/>
      <c r="L10" s="1"/>
      <c r="P10" s="1"/>
      <c r="Q10" s="1"/>
      <c r="R10" s="1"/>
      <c r="S10" s="1"/>
      <c r="T10" s="1"/>
      <c r="U10" s="1"/>
    </row>
    <row r="11" spans="2:21" x14ac:dyDescent="0.55000000000000004">
      <c r="B11" s="3" t="s">
        <v>9</v>
      </c>
      <c r="C11" s="1">
        <v>6</v>
      </c>
      <c r="D11" s="1"/>
      <c r="E11" s="3" t="s">
        <v>9</v>
      </c>
      <c r="F11" s="1">
        <v>0</v>
      </c>
      <c r="G11" s="1"/>
      <c r="H11" s="1"/>
      <c r="I11" s="1" t="s">
        <v>24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23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7</v>
      </c>
      <c r="D13" s="1"/>
      <c r="E13" s="1" t="s">
        <v>3</v>
      </c>
      <c r="F13" s="1">
        <v>9</v>
      </c>
      <c r="H13" s="1"/>
      <c r="I13" s="1"/>
      <c r="J13" s="1"/>
      <c r="K13" s="1"/>
      <c r="L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4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4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4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4" x14ac:dyDescent="0.55000000000000004">
      <c r="B20" s="1" t="s">
        <v>22</v>
      </c>
      <c r="C20" s="1">
        <f>SUM(C8:C19)</f>
        <v>55</v>
      </c>
      <c r="D20" s="1"/>
      <c r="E20" s="1" t="s">
        <v>22</v>
      </c>
      <c r="F20" s="1">
        <f>SUM(F8:F19)</f>
        <v>43</v>
      </c>
    </row>
    <row r="21" spans="2:24" x14ac:dyDescent="0.55000000000000004">
      <c r="B21" s="1" t="s">
        <v>28</v>
      </c>
      <c r="C21" s="1">
        <f>SUM(C9:C19)</f>
        <v>47</v>
      </c>
      <c r="D21" s="1"/>
      <c r="E21" s="1" t="s">
        <v>28</v>
      </c>
      <c r="F21" s="1">
        <f>SUM(F9:F19)</f>
        <v>31</v>
      </c>
    </row>
    <row r="23" spans="2:24" x14ac:dyDescent="0.55000000000000004">
      <c r="J23" t="s">
        <v>29</v>
      </c>
    </row>
    <row r="24" spans="2:24" x14ac:dyDescent="0.55000000000000004">
      <c r="J24" s="4">
        <v>1</v>
      </c>
      <c r="K24" s="4">
        <v>2</v>
      </c>
      <c r="L24" s="4">
        <v>3</v>
      </c>
      <c r="M24" s="4">
        <v>4</v>
      </c>
      <c r="N24" s="4">
        <v>5</v>
      </c>
      <c r="O24" s="4">
        <v>6</v>
      </c>
      <c r="P24" s="4">
        <v>7</v>
      </c>
      <c r="Q24" s="5">
        <v>1</v>
      </c>
      <c r="R24" s="5">
        <v>2</v>
      </c>
      <c r="S24" s="5">
        <v>3</v>
      </c>
      <c r="T24" s="5">
        <v>4</v>
      </c>
      <c r="U24" s="4">
        <v>8</v>
      </c>
    </row>
    <row r="25" spans="2:24" x14ac:dyDescent="0.55000000000000004">
      <c r="I25" s="1" t="s">
        <v>27</v>
      </c>
      <c r="J25" s="6">
        <v>0.375</v>
      </c>
      <c r="K25" s="6">
        <v>0.375</v>
      </c>
      <c r="L25" s="6">
        <v>0.375</v>
      </c>
      <c r="M25" s="6">
        <v>0.375</v>
      </c>
      <c r="N25" s="6">
        <v>0.375</v>
      </c>
      <c r="O25" s="6">
        <v>0.375</v>
      </c>
      <c r="P25" s="6">
        <v>0.375</v>
      </c>
      <c r="Q25" s="6">
        <v>0.375</v>
      </c>
      <c r="R25" s="6">
        <v>0.375</v>
      </c>
      <c r="S25" s="6">
        <v>0.375</v>
      </c>
      <c r="T25" s="6">
        <v>0.375</v>
      </c>
      <c r="U25" s="6">
        <v>0.375</v>
      </c>
      <c r="V25" s="1"/>
      <c r="W25" t="s">
        <v>30</v>
      </c>
      <c r="X25" t="s">
        <v>32</v>
      </c>
    </row>
    <row r="26" spans="2:24" x14ac:dyDescent="0.55000000000000004">
      <c r="G26" s="2" t="s">
        <v>8</v>
      </c>
      <c r="H26" s="6">
        <v>4.8611111111111112E-3</v>
      </c>
      <c r="I26" s="2" t="s">
        <v>8</v>
      </c>
      <c r="J26" s="8">
        <f t="shared" ref="J26:J36" si="0">J25+$H26</f>
        <v>0.37986111111111109</v>
      </c>
      <c r="K26" s="8">
        <f>J26+$H26</f>
        <v>0.38472222222222219</v>
      </c>
      <c r="L26" s="8">
        <f t="shared" ref="L26:P26" si="1">K26+$H26</f>
        <v>0.38958333333333328</v>
      </c>
      <c r="M26" s="8">
        <f t="shared" si="1"/>
        <v>0.39444444444444438</v>
      </c>
      <c r="N26" s="8">
        <f t="shared" si="1"/>
        <v>0.39930555555555547</v>
      </c>
      <c r="O26" s="8">
        <f t="shared" si="1"/>
        <v>0.40416666666666656</v>
      </c>
      <c r="P26" s="8">
        <f t="shared" si="1"/>
        <v>0.40902777777777766</v>
      </c>
      <c r="Q26" s="8">
        <f>P26+$H38</f>
        <v>0.41388888888888875</v>
      </c>
      <c r="R26" s="8">
        <f t="shared" ref="R26:T26" si="2">Q26+$H38</f>
        <v>0.41874999999999984</v>
      </c>
      <c r="S26" s="8">
        <f t="shared" si="2"/>
        <v>0.42361111111111094</v>
      </c>
      <c r="T26" s="8">
        <f t="shared" si="2"/>
        <v>0.42847222222222203</v>
      </c>
      <c r="U26" s="8">
        <f>T26+$H26</f>
        <v>0.43333333333333313</v>
      </c>
      <c r="V26" s="1"/>
      <c r="W26" t="s">
        <v>31</v>
      </c>
      <c r="X26" t="s">
        <v>33</v>
      </c>
    </row>
    <row r="27" spans="2:24" x14ac:dyDescent="0.55000000000000004">
      <c r="G27" s="3" t="s">
        <v>4</v>
      </c>
      <c r="H27" s="6">
        <v>1.3888888888888889E-3</v>
      </c>
      <c r="I27" s="3" t="s">
        <v>4</v>
      </c>
      <c r="J27" s="7">
        <f t="shared" si="0"/>
        <v>0.38124999999999998</v>
      </c>
      <c r="K27" s="7">
        <f t="shared" ref="K27:U28" si="3">K26+$H27</f>
        <v>0.38611111111111107</v>
      </c>
      <c r="L27" s="7">
        <f t="shared" si="3"/>
        <v>0.39097222222222217</v>
      </c>
      <c r="M27" s="7">
        <f t="shared" si="3"/>
        <v>0.39583333333333326</v>
      </c>
      <c r="N27" s="7">
        <f t="shared" si="3"/>
        <v>0.40069444444444435</v>
      </c>
      <c r="O27" s="7">
        <f t="shared" si="3"/>
        <v>0.40555555555555545</v>
      </c>
      <c r="P27" s="7">
        <f t="shared" si="3"/>
        <v>0.41041666666666654</v>
      </c>
      <c r="Q27" s="9">
        <f>Q26+$H39</f>
        <v>0.41388888888888875</v>
      </c>
      <c r="R27" s="9">
        <f t="shared" ref="R27:T29" si="4">R26+$H39</f>
        <v>0.41874999999999984</v>
      </c>
      <c r="S27" s="9">
        <f t="shared" si="4"/>
        <v>0.42361111111111094</v>
      </c>
      <c r="T27" s="9">
        <f t="shared" si="4"/>
        <v>0.42847222222222203</v>
      </c>
      <c r="U27" s="7">
        <f t="shared" si="3"/>
        <v>0.43472222222222201</v>
      </c>
      <c r="V27" s="6"/>
    </row>
    <row r="28" spans="2:24" x14ac:dyDescent="0.55000000000000004">
      <c r="G28" s="3" t="s">
        <v>9</v>
      </c>
      <c r="H28" s="6">
        <v>4.1666666666666666E-3</v>
      </c>
      <c r="I28" s="3" t="s">
        <v>9</v>
      </c>
      <c r="J28" s="7">
        <f t="shared" si="0"/>
        <v>0.38541666666666663</v>
      </c>
      <c r="K28" s="7">
        <f t="shared" si="3"/>
        <v>0.39027777777777772</v>
      </c>
      <c r="L28" s="7">
        <f t="shared" si="3"/>
        <v>0.39513888888888882</v>
      </c>
      <c r="M28" s="7">
        <f t="shared" si="3"/>
        <v>0.39999999999999991</v>
      </c>
      <c r="N28" s="7">
        <f t="shared" si="3"/>
        <v>0.40486111111111101</v>
      </c>
      <c r="O28" s="7">
        <f t="shared" si="3"/>
        <v>0.4097222222222221</v>
      </c>
      <c r="P28" s="7">
        <f t="shared" si="3"/>
        <v>0.41458333333333319</v>
      </c>
      <c r="Q28" s="9">
        <f>Q27+$H40</f>
        <v>0.41388888888888875</v>
      </c>
      <c r="R28" s="9">
        <f t="shared" si="4"/>
        <v>0.41874999999999984</v>
      </c>
      <c r="S28" s="9">
        <f t="shared" si="4"/>
        <v>0.42361111111111094</v>
      </c>
      <c r="T28" s="9">
        <f t="shared" si="4"/>
        <v>0.42847222222222203</v>
      </c>
      <c r="U28" s="7">
        <f t="shared" si="3"/>
        <v>0.43888888888888866</v>
      </c>
      <c r="V28" s="6"/>
    </row>
    <row r="29" spans="2:24" x14ac:dyDescent="0.55000000000000004">
      <c r="G29" s="3" t="s">
        <v>4</v>
      </c>
      <c r="H29" s="6">
        <v>2.0833333333333333E-3</v>
      </c>
      <c r="I29" s="3" t="s">
        <v>4</v>
      </c>
      <c r="J29" s="7">
        <f t="shared" si="0"/>
        <v>0.38749999999999996</v>
      </c>
      <c r="K29" s="7">
        <f t="shared" ref="K29:P36" si="5">K28+$H29</f>
        <v>0.39236111111111105</v>
      </c>
      <c r="L29" s="7">
        <f t="shared" si="5"/>
        <v>0.39722222222222214</v>
      </c>
      <c r="M29" s="7">
        <f t="shared" si="5"/>
        <v>0.40208333333333324</v>
      </c>
      <c r="N29" s="7">
        <f t="shared" si="5"/>
        <v>0.40694444444444433</v>
      </c>
      <c r="O29" s="7">
        <f t="shared" si="5"/>
        <v>0.41180555555555542</v>
      </c>
      <c r="P29" s="7">
        <f t="shared" si="5"/>
        <v>0.41666666666666652</v>
      </c>
      <c r="Q29" s="9">
        <f>Q28+$H41</f>
        <v>0.41527777777777763</v>
      </c>
      <c r="R29" s="9">
        <f t="shared" si="4"/>
        <v>0.42013888888888873</v>
      </c>
      <c r="S29" s="9">
        <f t="shared" si="4"/>
        <v>0.42499999999999982</v>
      </c>
      <c r="T29" s="9">
        <f t="shared" si="4"/>
        <v>0.42986111111111092</v>
      </c>
      <c r="U29" s="7">
        <f t="shared" ref="U29:U36" si="6">U28+$H29</f>
        <v>0.44097222222222199</v>
      </c>
      <c r="V29" s="1"/>
    </row>
    <row r="30" spans="2:24" x14ac:dyDescent="0.55000000000000004">
      <c r="G30" s="1" t="s">
        <v>3</v>
      </c>
      <c r="H30" s="6">
        <v>4.8611111111111112E-3</v>
      </c>
      <c r="I30" s="1" t="s">
        <v>3</v>
      </c>
      <c r="J30" s="6">
        <f t="shared" si="0"/>
        <v>0.39236111111111105</v>
      </c>
      <c r="K30" s="6">
        <f t="shared" si="5"/>
        <v>0.39722222222222214</v>
      </c>
      <c r="L30" s="6">
        <f t="shared" si="5"/>
        <v>0.40208333333333324</v>
      </c>
      <c r="M30" s="6">
        <f t="shared" si="5"/>
        <v>0.40694444444444433</v>
      </c>
      <c r="N30" s="6">
        <f t="shared" si="5"/>
        <v>0.41180555555555542</v>
      </c>
      <c r="O30" s="6">
        <f t="shared" si="5"/>
        <v>0.41666666666666652</v>
      </c>
      <c r="P30" s="6">
        <f t="shared" si="5"/>
        <v>0.42152777777777761</v>
      </c>
      <c r="Q30" s="6">
        <f>Q29+$H42</f>
        <v>0.42152777777777761</v>
      </c>
      <c r="R30" s="6">
        <f t="shared" ref="R30:T31" si="7">R29+$H42</f>
        <v>0.42638888888888871</v>
      </c>
      <c r="S30" s="6">
        <f t="shared" si="7"/>
        <v>0.4312499999999998</v>
      </c>
      <c r="T30" s="6">
        <f t="shared" si="7"/>
        <v>0.43611111111111089</v>
      </c>
      <c r="U30" s="6">
        <f t="shared" si="6"/>
        <v>0.44583333333333308</v>
      </c>
      <c r="V30" s="1"/>
    </row>
    <row r="31" spans="2:24" x14ac:dyDescent="0.55000000000000004">
      <c r="G31" s="1" t="s">
        <v>4</v>
      </c>
      <c r="H31" s="6">
        <v>2.0833333333333333E-3</v>
      </c>
      <c r="I31" s="1" t="s">
        <v>4</v>
      </c>
      <c r="J31" s="6">
        <f t="shared" si="0"/>
        <v>0.39444444444444438</v>
      </c>
      <c r="K31" s="6">
        <f t="shared" si="5"/>
        <v>0.39930555555555547</v>
      </c>
      <c r="L31" s="6">
        <f t="shared" si="5"/>
        <v>0.40416666666666656</v>
      </c>
      <c r="M31" s="6">
        <f t="shared" si="5"/>
        <v>0.40902777777777766</v>
      </c>
      <c r="N31" s="6">
        <f t="shared" si="5"/>
        <v>0.41388888888888875</v>
      </c>
      <c r="O31" s="6">
        <f t="shared" si="5"/>
        <v>0.41874999999999984</v>
      </c>
      <c r="P31" s="6">
        <f t="shared" si="5"/>
        <v>0.42361111111111094</v>
      </c>
      <c r="Q31" s="6">
        <f>Q30+$H43</f>
        <v>0.42430555555555538</v>
      </c>
      <c r="R31" s="6">
        <f t="shared" si="7"/>
        <v>0.42916666666666647</v>
      </c>
      <c r="S31" s="6">
        <f t="shared" si="7"/>
        <v>0.43402777777777757</v>
      </c>
      <c r="T31" s="6">
        <f t="shared" si="7"/>
        <v>0.43888888888888866</v>
      </c>
      <c r="U31" s="6">
        <f t="shared" si="6"/>
        <v>0.44791666666666641</v>
      </c>
      <c r="V31" s="1"/>
    </row>
    <row r="32" spans="2:24" x14ac:dyDescent="0.55000000000000004">
      <c r="G32" s="1" t="s">
        <v>5</v>
      </c>
      <c r="H32" s="6">
        <v>3.472222222222222E-3</v>
      </c>
      <c r="I32" s="1" t="s">
        <v>5</v>
      </c>
      <c r="J32" s="6">
        <f t="shared" si="0"/>
        <v>0.39791666666666659</v>
      </c>
      <c r="K32" s="6">
        <f t="shared" si="5"/>
        <v>0.40277777777777768</v>
      </c>
      <c r="L32" s="6">
        <f t="shared" si="5"/>
        <v>0.40763888888888877</v>
      </c>
      <c r="M32" s="6">
        <f t="shared" si="5"/>
        <v>0.41249999999999987</v>
      </c>
      <c r="N32" s="6">
        <f t="shared" si="5"/>
        <v>0.41736111111111096</v>
      </c>
      <c r="O32" s="6">
        <f t="shared" si="5"/>
        <v>0.42222222222222205</v>
      </c>
      <c r="P32" s="6">
        <f t="shared" si="5"/>
        <v>0.42708333333333315</v>
      </c>
      <c r="Q32" s="6">
        <f>P32+$H44</f>
        <v>0.43055555555555536</v>
      </c>
      <c r="R32" s="6">
        <f>Q32+$H44</f>
        <v>0.43402777777777757</v>
      </c>
      <c r="S32" s="6">
        <f>R32+$H44</f>
        <v>0.43749999999999978</v>
      </c>
      <c r="T32" s="6">
        <f>T31+$H44</f>
        <v>0.44236111111111087</v>
      </c>
      <c r="U32" s="6">
        <f t="shared" si="6"/>
        <v>0.45138888888888862</v>
      </c>
      <c r="V32" s="1"/>
    </row>
    <row r="33" spans="7:22" x14ac:dyDescent="0.55000000000000004">
      <c r="G33" s="1" t="s">
        <v>4</v>
      </c>
      <c r="H33" s="6">
        <v>1.3888888888888889E-3</v>
      </c>
      <c r="I33" s="1" t="s">
        <v>4</v>
      </c>
      <c r="J33" s="6">
        <f t="shared" si="0"/>
        <v>0.39930555555555547</v>
      </c>
      <c r="K33" s="6">
        <f t="shared" si="5"/>
        <v>0.40416666666666656</v>
      </c>
      <c r="L33" s="6">
        <f t="shared" si="5"/>
        <v>0.40902777777777766</v>
      </c>
      <c r="M33" s="6">
        <f t="shared" si="5"/>
        <v>0.41388888888888875</v>
      </c>
      <c r="N33" s="6">
        <f t="shared" si="5"/>
        <v>0.41874999999999984</v>
      </c>
      <c r="O33" s="6">
        <f t="shared" si="5"/>
        <v>0.42361111111111094</v>
      </c>
      <c r="P33" s="6">
        <f t="shared" si="5"/>
        <v>0.42847222222222203</v>
      </c>
      <c r="Q33" s="6">
        <f>Q32+$H45</f>
        <v>0.4312499999999998</v>
      </c>
      <c r="R33" s="6">
        <f>R32+$H45</f>
        <v>0.43472222222222201</v>
      </c>
      <c r="S33" s="6">
        <f>S32+$H45</f>
        <v>0.43819444444444422</v>
      </c>
      <c r="T33" s="6">
        <f>T32+$H45</f>
        <v>0.44305555555555531</v>
      </c>
      <c r="U33" s="6">
        <f t="shared" si="6"/>
        <v>0.4527777777777775</v>
      </c>
      <c r="V33" s="1"/>
    </row>
    <row r="34" spans="7:22" x14ac:dyDescent="0.55000000000000004">
      <c r="G34" s="1" t="s">
        <v>10</v>
      </c>
      <c r="H34" s="6">
        <v>3.472222222222222E-3</v>
      </c>
      <c r="I34" s="1" t="s">
        <v>10</v>
      </c>
      <c r="J34" s="6">
        <f t="shared" si="0"/>
        <v>0.40277777777777768</v>
      </c>
      <c r="K34" s="6">
        <f t="shared" si="5"/>
        <v>0.40763888888888877</v>
      </c>
      <c r="L34" s="6">
        <f t="shared" si="5"/>
        <v>0.41249999999999987</v>
      </c>
      <c r="M34" s="6">
        <f t="shared" si="5"/>
        <v>0.41736111111111096</v>
      </c>
      <c r="N34" s="6">
        <f t="shared" si="5"/>
        <v>0.42222222222222205</v>
      </c>
      <c r="O34" s="6">
        <f t="shared" si="5"/>
        <v>0.42708333333333315</v>
      </c>
      <c r="P34" s="6">
        <f t="shared" si="5"/>
        <v>0.43194444444444424</v>
      </c>
      <c r="Q34" s="6">
        <f>P34+$H46</f>
        <v>0.43472222222222201</v>
      </c>
      <c r="R34" s="6">
        <f>Q34+$H46</f>
        <v>0.43749999999999978</v>
      </c>
      <c r="S34" s="6">
        <f>S33+$H46</f>
        <v>0.44097222222222199</v>
      </c>
      <c r="T34" s="6">
        <f>T33+$H46</f>
        <v>0.44583333333333308</v>
      </c>
      <c r="U34" s="6">
        <f t="shared" si="6"/>
        <v>0.45624999999999971</v>
      </c>
      <c r="V34" s="1"/>
    </row>
    <row r="35" spans="7:22" x14ac:dyDescent="0.55000000000000004">
      <c r="G35" s="1" t="s">
        <v>6</v>
      </c>
      <c r="H35" s="6">
        <v>1.3888888888888889E-3</v>
      </c>
      <c r="I35" s="1" t="s">
        <v>6</v>
      </c>
      <c r="J35" s="6">
        <f t="shared" si="0"/>
        <v>0.40416666666666656</v>
      </c>
      <c r="K35" s="6">
        <f t="shared" si="5"/>
        <v>0.40902777777777766</v>
      </c>
      <c r="L35" s="6">
        <f t="shared" si="5"/>
        <v>0.41388888888888875</v>
      </c>
      <c r="M35" s="6">
        <f t="shared" si="5"/>
        <v>0.41874999999999984</v>
      </c>
      <c r="N35" s="6">
        <f t="shared" si="5"/>
        <v>0.42361111111111094</v>
      </c>
      <c r="O35" s="6">
        <f t="shared" si="5"/>
        <v>0.42847222222222203</v>
      </c>
      <c r="P35" s="6">
        <f t="shared" si="5"/>
        <v>0.43333333333333313</v>
      </c>
      <c r="Q35" s="6">
        <f>Q34+$H47</f>
        <v>0.43680555555555534</v>
      </c>
      <c r="R35" s="6">
        <f>R34+$H47</f>
        <v>0.4395833333333331</v>
      </c>
      <c r="S35" s="6">
        <f>S34+$H47</f>
        <v>0.44305555555555531</v>
      </c>
      <c r="T35" s="6">
        <f>T34+$H47</f>
        <v>0.44791666666666641</v>
      </c>
      <c r="U35" s="6">
        <f t="shared" si="6"/>
        <v>0.4576388888888886</v>
      </c>
      <c r="V35" s="1"/>
    </row>
    <row r="36" spans="7:22" x14ac:dyDescent="0.55000000000000004">
      <c r="G36" s="1" t="s">
        <v>7</v>
      </c>
      <c r="H36" s="6">
        <v>3.472222222222222E-3</v>
      </c>
      <c r="I36" s="1" t="s">
        <v>7</v>
      </c>
      <c r="J36" s="6">
        <f t="shared" si="0"/>
        <v>0.40763888888888877</v>
      </c>
      <c r="K36" s="6">
        <f t="shared" si="5"/>
        <v>0.41249999999999987</v>
      </c>
      <c r="L36" s="6">
        <f t="shared" si="5"/>
        <v>0.41736111111111096</v>
      </c>
      <c r="M36" s="6">
        <f t="shared" si="5"/>
        <v>0.42222222222222205</v>
      </c>
      <c r="N36" s="6">
        <f t="shared" si="5"/>
        <v>0.42708333333333315</v>
      </c>
      <c r="O36" s="6">
        <f t="shared" si="5"/>
        <v>0.43194444444444424</v>
      </c>
      <c r="P36" s="6">
        <f t="shared" si="5"/>
        <v>0.43680555555555534</v>
      </c>
      <c r="Q36" s="6">
        <f>Q35+$H48</f>
        <v>0.43888888888888866</v>
      </c>
      <c r="R36" s="6">
        <f>R35+$H48</f>
        <v>0.44166666666666643</v>
      </c>
      <c r="S36" s="6">
        <f>S35+$H48</f>
        <v>0.44513888888888864</v>
      </c>
      <c r="T36" s="6">
        <f>T35+$H48</f>
        <v>0.44999999999999973</v>
      </c>
      <c r="U36" s="6">
        <f t="shared" si="6"/>
        <v>0.46111111111111081</v>
      </c>
      <c r="V36" s="1"/>
    </row>
    <row r="37" spans="7:22" x14ac:dyDescent="0.55000000000000004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7:22" x14ac:dyDescent="0.55000000000000004">
      <c r="G38" s="2" t="s">
        <v>8</v>
      </c>
      <c r="H38" s="6">
        <v>4.8611111111111112E-3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7:22" x14ac:dyDescent="0.55000000000000004">
      <c r="G39" s="3" t="s">
        <v>4</v>
      </c>
      <c r="H39" s="6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7:22" x14ac:dyDescent="0.55000000000000004">
      <c r="G40" s="3" t="s">
        <v>9</v>
      </c>
      <c r="H40" s="6">
        <v>0</v>
      </c>
    </row>
    <row r="41" spans="7:22" x14ac:dyDescent="0.55000000000000004">
      <c r="G41" s="3" t="s">
        <v>4</v>
      </c>
      <c r="H41" s="6">
        <v>1.3888888888888889E-3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7:22" x14ac:dyDescent="0.55000000000000004">
      <c r="G42" s="1" t="s">
        <v>3</v>
      </c>
      <c r="H42" s="6">
        <v>6.2500000000000003E-3</v>
      </c>
    </row>
    <row r="43" spans="7:22" x14ac:dyDescent="0.55000000000000004">
      <c r="G43" s="1" t="s">
        <v>4</v>
      </c>
      <c r="H43" s="6">
        <v>2.7777777777777779E-3</v>
      </c>
    </row>
    <row r="44" spans="7:22" x14ac:dyDescent="0.55000000000000004">
      <c r="G44" s="1" t="s">
        <v>5</v>
      </c>
      <c r="H44" s="6">
        <v>3.472222222222222E-3</v>
      </c>
    </row>
    <row r="45" spans="7:22" x14ac:dyDescent="0.55000000000000004">
      <c r="G45" s="1" t="s">
        <v>4</v>
      </c>
      <c r="H45" s="6">
        <v>6.9444444444444447E-4</v>
      </c>
    </row>
    <row r="46" spans="7:22" x14ac:dyDescent="0.55000000000000004">
      <c r="G46" s="1" t="s">
        <v>10</v>
      </c>
      <c r="H46" s="6">
        <v>2.7777777777777779E-3</v>
      </c>
    </row>
    <row r="47" spans="7:22" x14ac:dyDescent="0.55000000000000004">
      <c r="G47" s="1" t="s">
        <v>6</v>
      </c>
      <c r="H47" s="6">
        <v>2.0833333333333333E-3</v>
      </c>
    </row>
    <row r="48" spans="7:22" x14ac:dyDescent="0.55000000000000004">
      <c r="G48" s="1" t="s">
        <v>7</v>
      </c>
      <c r="H48" s="6">
        <v>2.0833333333333333E-3</v>
      </c>
    </row>
  </sheetData>
  <mergeCells count="3">
    <mergeCell ref="B6:F6"/>
    <mergeCell ref="B7:C7"/>
    <mergeCell ref="E7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B4C4-306B-4743-BDE9-F6DAB4AB93EF}">
  <dimension ref="B4:X48"/>
  <sheetViews>
    <sheetView zoomScale="66" workbookViewId="0">
      <selection activeCell="I5" activeCellId="1" sqref="H6:U16 I5:U5"/>
    </sheetView>
  </sheetViews>
  <sheetFormatPr defaultRowHeight="17.600000000000001" x14ac:dyDescent="0.55000000000000004"/>
  <cols>
    <col min="2" max="2" width="17.85546875" bestFit="1" customWidth="1"/>
    <col min="5" max="5" width="17.85546875" bestFit="1" customWidth="1"/>
    <col min="7" max="7" width="17.85546875" bestFit="1" customWidth="1"/>
    <col min="9" max="9" width="17.85546875" bestFit="1" customWidth="1"/>
    <col min="23" max="23" width="16.28515625" bestFit="1" customWidth="1"/>
  </cols>
  <sheetData>
    <row r="4" spans="2:21" x14ac:dyDescent="0.55000000000000004">
      <c r="G4" s="1"/>
      <c r="H4" s="1"/>
      <c r="I4" s="1"/>
      <c r="P4" s="1"/>
      <c r="Q4" s="1"/>
      <c r="R4" s="1"/>
      <c r="S4" s="1"/>
      <c r="T4" s="1"/>
      <c r="U4" s="1"/>
    </row>
    <row r="5" spans="2:21" x14ac:dyDescent="0.55000000000000004">
      <c r="G5" s="1"/>
      <c r="H5" s="1"/>
      <c r="I5" s="1" t="s">
        <v>37</v>
      </c>
      <c r="J5" s="1" t="s">
        <v>38</v>
      </c>
      <c r="K5" s="1" t="s">
        <v>40</v>
      </c>
      <c r="L5" s="1"/>
      <c r="P5" s="1"/>
      <c r="Q5" s="1"/>
      <c r="R5" s="1"/>
      <c r="S5" s="1"/>
      <c r="T5" s="1"/>
      <c r="U5" s="1"/>
    </row>
    <row r="6" spans="2:21" x14ac:dyDescent="0.55000000000000004">
      <c r="B6" s="15" t="s">
        <v>34</v>
      </c>
      <c r="C6" s="15"/>
      <c r="D6" s="15"/>
      <c r="E6" s="15"/>
      <c r="F6" s="15"/>
      <c r="G6" s="1"/>
      <c r="H6" s="1" t="s">
        <v>12</v>
      </c>
      <c r="I6" s="1" t="s">
        <v>15</v>
      </c>
      <c r="J6" s="1" t="s">
        <v>39</v>
      </c>
      <c r="K6" s="1" t="s">
        <v>41</v>
      </c>
      <c r="L6" s="1"/>
      <c r="P6" s="1"/>
      <c r="Q6" s="1" t="s">
        <v>16</v>
      </c>
      <c r="R6" s="1"/>
      <c r="S6" s="1" t="s">
        <v>18</v>
      </c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13</v>
      </c>
      <c r="I7" s="1" t="s">
        <v>14</v>
      </c>
      <c r="J7" s="1" t="s">
        <v>42</v>
      </c>
      <c r="K7" s="12">
        <f>60/8</f>
        <v>7.5</v>
      </c>
      <c r="L7" s="1"/>
      <c r="P7" s="1"/>
      <c r="Q7" s="1" t="s">
        <v>25</v>
      </c>
      <c r="R7" s="1"/>
      <c r="S7" s="1" t="s">
        <v>19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/>
      <c r="I8" s="1"/>
      <c r="J8" s="1"/>
      <c r="K8" s="1"/>
      <c r="L8" s="1"/>
      <c r="P8" s="1"/>
      <c r="Q8" s="1" t="s">
        <v>17</v>
      </c>
      <c r="R8" s="1"/>
      <c r="S8" s="1" t="s">
        <v>15</v>
      </c>
      <c r="T8" s="1"/>
      <c r="U8" s="1"/>
    </row>
    <row r="9" spans="2:21" x14ac:dyDescent="0.55000000000000004">
      <c r="B9" s="2" t="s">
        <v>8</v>
      </c>
      <c r="C9" s="1">
        <v>7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26</v>
      </c>
      <c r="R9" s="1"/>
      <c r="S9" s="1"/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 t="s">
        <v>20</v>
      </c>
      <c r="I10" s="1" t="s">
        <v>21</v>
      </c>
      <c r="J10" s="1"/>
      <c r="K10" s="1"/>
      <c r="L10" s="1"/>
      <c r="P10" s="1"/>
      <c r="Q10" s="1"/>
      <c r="R10" s="1"/>
      <c r="S10" s="1"/>
      <c r="T10" s="1"/>
      <c r="U10" s="1"/>
    </row>
    <row r="11" spans="2:21" x14ac:dyDescent="0.55000000000000004">
      <c r="B11" s="3" t="s">
        <v>9</v>
      </c>
      <c r="C11" s="1">
        <v>6</v>
      </c>
      <c r="D11" s="1"/>
      <c r="E11" s="3" t="s">
        <v>9</v>
      </c>
      <c r="F11" s="1">
        <v>0</v>
      </c>
      <c r="G11" s="1"/>
      <c r="H11" s="1"/>
      <c r="I11" s="1" t="s">
        <v>24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23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7</v>
      </c>
      <c r="D13" s="1"/>
      <c r="E13" s="1" t="s">
        <v>3</v>
      </c>
      <c r="F13" s="1">
        <v>9</v>
      </c>
      <c r="H13" s="1"/>
      <c r="I13" s="1"/>
      <c r="J13" s="1"/>
      <c r="K13" s="1"/>
      <c r="L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4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4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4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4" x14ac:dyDescent="0.55000000000000004">
      <c r="B20" s="1" t="s">
        <v>22</v>
      </c>
      <c r="C20" s="1">
        <f>SUM(C8:C19)</f>
        <v>55</v>
      </c>
      <c r="D20" s="1"/>
      <c r="E20" s="1" t="s">
        <v>22</v>
      </c>
      <c r="F20" s="1">
        <f>SUM(F8:F19)</f>
        <v>43</v>
      </c>
    </row>
    <row r="21" spans="2:24" x14ac:dyDescent="0.55000000000000004">
      <c r="B21" s="1" t="s">
        <v>28</v>
      </c>
      <c r="C21" s="1">
        <f>SUM(C9:C19)</f>
        <v>47</v>
      </c>
      <c r="D21" s="1"/>
      <c r="E21" s="1" t="s">
        <v>28</v>
      </c>
      <c r="F21" s="1">
        <f>SUM(F9:F19)</f>
        <v>31</v>
      </c>
    </row>
    <row r="23" spans="2:24" x14ac:dyDescent="0.55000000000000004">
      <c r="J23" t="s">
        <v>29</v>
      </c>
    </row>
    <row r="24" spans="2:24" x14ac:dyDescent="0.55000000000000004">
      <c r="J24" s="4">
        <v>1</v>
      </c>
      <c r="K24" s="4">
        <v>2</v>
      </c>
      <c r="L24" s="4">
        <v>3</v>
      </c>
      <c r="M24" s="4">
        <v>4</v>
      </c>
      <c r="N24" s="4">
        <v>5</v>
      </c>
      <c r="O24" s="4">
        <v>6</v>
      </c>
      <c r="P24" s="4">
        <v>7</v>
      </c>
      <c r="Q24" s="5">
        <v>1</v>
      </c>
      <c r="R24" s="5">
        <v>2</v>
      </c>
      <c r="S24" s="5">
        <v>3</v>
      </c>
      <c r="T24" s="5">
        <v>4</v>
      </c>
      <c r="U24" s="4">
        <v>1</v>
      </c>
    </row>
    <row r="25" spans="2:24" x14ac:dyDescent="0.55000000000000004">
      <c r="I25" s="1" t="s">
        <v>27</v>
      </c>
      <c r="J25" s="6">
        <v>0.375</v>
      </c>
      <c r="K25" s="6">
        <v>0.375</v>
      </c>
      <c r="L25" s="6">
        <v>0.375</v>
      </c>
      <c r="M25" s="6">
        <v>0.375</v>
      </c>
      <c r="N25" s="6">
        <v>0.375</v>
      </c>
      <c r="O25" s="6">
        <v>0.375</v>
      </c>
      <c r="P25" s="6">
        <v>0.375</v>
      </c>
      <c r="Q25" s="6">
        <v>0.375</v>
      </c>
      <c r="R25" s="6">
        <v>0.375</v>
      </c>
      <c r="S25" s="6">
        <v>0.375</v>
      </c>
      <c r="T25" s="6">
        <v>0.375</v>
      </c>
      <c r="U25" s="6">
        <v>0.375</v>
      </c>
      <c r="V25" s="1"/>
      <c r="W25" t="s">
        <v>30</v>
      </c>
      <c r="X25" t="s">
        <v>32</v>
      </c>
    </row>
    <row r="26" spans="2:24" x14ac:dyDescent="0.55000000000000004">
      <c r="G26" s="2" t="s">
        <v>8</v>
      </c>
      <c r="H26" s="6">
        <v>4.8611111111111112E-3</v>
      </c>
      <c r="I26" s="2" t="s">
        <v>8</v>
      </c>
      <c r="J26" s="8">
        <f t="shared" ref="J26:J31" si="0">J25+$H26</f>
        <v>0.37986111111111109</v>
      </c>
      <c r="K26" s="8">
        <f>J26+$H26</f>
        <v>0.38472222222222219</v>
      </c>
      <c r="L26" s="8">
        <f t="shared" ref="L26:O26" si="1">K26+$H26</f>
        <v>0.38958333333333328</v>
      </c>
      <c r="M26" s="8">
        <f t="shared" si="1"/>
        <v>0.39444444444444438</v>
      </c>
      <c r="N26" s="8">
        <f t="shared" si="1"/>
        <v>0.39930555555555547</v>
      </c>
      <c r="O26" s="8">
        <f t="shared" si="1"/>
        <v>0.40416666666666656</v>
      </c>
      <c r="P26" s="8">
        <f>O26+$H26</f>
        <v>0.40902777777777766</v>
      </c>
      <c r="Q26" s="10">
        <f t="shared" ref="Q26:Q36" si="2">Q25+$H38</f>
        <v>0.375</v>
      </c>
      <c r="R26" s="10">
        <f t="shared" ref="R26:T29" si="3">R25+$H38</f>
        <v>0.375</v>
      </c>
      <c r="S26" s="10">
        <f t="shared" si="3"/>
        <v>0.375</v>
      </c>
      <c r="T26" s="10">
        <f t="shared" si="3"/>
        <v>0.375</v>
      </c>
      <c r="U26" s="8">
        <f>P26+$H26</f>
        <v>0.41388888888888875</v>
      </c>
      <c r="V26" s="1"/>
      <c r="W26" t="s">
        <v>31</v>
      </c>
      <c r="X26" t="s">
        <v>36</v>
      </c>
    </row>
    <row r="27" spans="2:24" x14ac:dyDescent="0.55000000000000004">
      <c r="G27" s="3" t="s">
        <v>4</v>
      </c>
      <c r="H27" s="6">
        <v>1.3888888888888889E-3</v>
      </c>
      <c r="I27" s="3" t="s">
        <v>4</v>
      </c>
      <c r="J27" s="7">
        <f t="shared" si="0"/>
        <v>0.38124999999999998</v>
      </c>
      <c r="K27" s="7">
        <f t="shared" ref="K27:U28" si="4">K26+$H27</f>
        <v>0.38611111111111107</v>
      </c>
      <c r="L27" s="7">
        <f t="shared" si="4"/>
        <v>0.39097222222222217</v>
      </c>
      <c r="M27" s="7">
        <f t="shared" si="4"/>
        <v>0.39583333333333326</v>
      </c>
      <c r="N27" s="7">
        <f t="shared" si="4"/>
        <v>0.40069444444444435</v>
      </c>
      <c r="O27" s="7">
        <f t="shared" si="4"/>
        <v>0.40555555555555545</v>
      </c>
      <c r="P27" s="7">
        <f t="shared" si="4"/>
        <v>0.41041666666666654</v>
      </c>
      <c r="Q27" s="11">
        <f t="shared" si="2"/>
        <v>0.375</v>
      </c>
      <c r="R27" s="11">
        <f t="shared" si="3"/>
        <v>0.375</v>
      </c>
      <c r="S27" s="11">
        <f t="shared" si="3"/>
        <v>0.375</v>
      </c>
      <c r="T27" s="11">
        <f t="shared" si="3"/>
        <v>0.375</v>
      </c>
      <c r="U27" s="7">
        <f t="shared" si="4"/>
        <v>0.41527777777777763</v>
      </c>
      <c r="V27" s="6"/>
    </row>
    <row r="28" spans="2:24" x14ac:dyDescent="0.55000000000000004">
      <c r="G28" s="3" t="s">
        <v>9</v>
      </c>
      <c r="H28" s="6">
        <v>4.1666666666666666E-3</v>
      </c>
      <c r="I28" s="3" t="s">
        <v>9</v>
      </c>
      <c r="J28" s="7">
        <f t="shared" si="0"/>
        <v>0.38541666666666663</v>
      </c>
      <c r="K28" s="7">
        <f t="shared" si="4"/>
        <v>0.39027777777777772</v>
      </c>
      <c r="L28" s="7">
        <f t="shared" si="4"/>
        <v>0.39513888888888882</v>
      </c>
      <c r="M28" s="7">
        <f t="shared" si="4"/>
        <v>0.39999999999999991</v>
      </c>
      <c r="N28" s="7">
        <f t="shared" si="4"/>
        <v>0.40486111111111101</v>
      </c>
      <c r="O28" s="7">
        <f t="shared" si="4"/>
        <v>0.4097222222222221</v>
      </c>
      <c r="P28" s="7">
        <f t="shared" si="4"/>
        <v>0.41458333333333319</v>
      </c>
      <c r="Q28" s="11">
        <f t="shared" si="2"/>
        <v>0.375</v>
      </c>
      <c r="R28" s="11">
        <f t="shared" si="3"/>
        <v>0.375</v>
      </c>
      <c r="S28" s="11">
        <f t="shared" si="3"/>
        <v>0.375</v>
      </c>
      <c r="T28" s="11">
        <f t="shared" si="3"/>
        <v>0.375</v>
      </c>
      <c r="U28" s="7">
        <f t="shared" si="4"/>
        <v>0.41944444444444429</v>
      </c>
      <c r="V28" s="6"/>
    </row>
    <row r="29" spans="2:24" x14ac:dyDescent="0.55000000000000004">
      <c r="G29" s="3" t="s">
        <v>4</v>
      </c>
      <c r="H29" s="6">
        <v>2.0833333333333333E-3</v>
      </c>
      <c r="I29" s="3" t="s">
        <v>4</v>
      </c>
      <c r="J29" s="7">
        <f t="shared" si="0"/>
        <v>0.38749999999999996</v>
      </c>
      <c r="K29" s="7">
        <f t="shared" ref="K29:P31" si="5">K28+$H29</f>
        <v>0.39236111111111105</v>
      </c>
      <c r="L29" s="7">
        <f t="shared" si="5"/>
        <v>0.39722222222222214</v>
      </c>
      <c r="M29" s="7">
        <f t="shared" si="5"/>
        <v>0.40208333333333324</v>
      </c>
      <c r="N29" s="7">
        <f t="shared" si="5"/>
        <v>0.40694444444444433</v>
      </c>
      <c r="O29" s="7">
        <f t="shared" si="5"/>
        <v>0.41180555555555542</v>
      </c>
      <c r="P29" s="7">
        <f t="shared" si="5"/>
        <v>0.41666666666666652</v>
      </c>
      <c r="Q29" s="11">
        <f t="shared" si="2"/>
        <v>0.37638888888888888</v>
      </c>
      <c r="R29" s="11">
        <f t="shared" si="3"/>
        <v>0.37638888888888888</v>
      </c>
      <c r="S29" s="11">
        <f t="shared" si="3"/>
        <v>0.37638888888888888</v>
      </c>
      <c r="T29" s="11">
        <f t="shared" si="3"/>
        <v>0.37638888888888888</v>
      </c>
      <c r="U29" s="7">
        <f t="shared" ref="U29:U36" si="6">U28+$H29</f>
        <v>0.42152777777777761</v>
      </c>
      <c r="V29" s="1"/>
    </row>
    <row r="30" spans="2:24" x14ac:dyDescent="0.55000000000000004">
      <c r="G30" s="1" t="s">
        <v>3</v>
      </c>
      <c r="H30" s="6">
        <v>4.8611111111111112E-3</v>
      </c>
      <c r="I30" s="1" t="s">
        <v>3</v>
      </c>
      <c r="J30" s="6">
        <f t="shared" si="0"/>
        <v>0.39236111111111105</v>
      </c>
      <c r="K30" s="6">
        <f t="shared" si="5"/>
        <v>0.39722222222222214</v>
      </c>
      <c r="L30" s="6">
        <f t="shared" si="5"/>
        <v>0.40208333333333324</v>
      </c>
      <c r="M30" s="6">
        <f t="shared" si="5"/>
        <v>0.40694444444444433</v>
      </c>
      <c r="N30" s="6">
        <f t="shared" si="5"/>
        <v>0.41180555555555542</v>
      </c>
      <c r="O30" s="6">
        <f t="shared" si="5"/>
        <v>0.41666666666666652</v>
      </c>
      <c r="P30" s="6">
        <f t="shared" si="5"/>
        <v>0.42152777777777761</v>
      </c>
      <c r="Q30" s="6">
        <f t="shared" si="2"/>
        <v>0.38263888888888886</v>
      </c>
      <c r="R30" s="6">
        <f t="shared" ref="R30:T31" si="7">R29+$H42</f>
        <v>0.38263888888888886</v>
      </c>
      <c r="S30" s="6">
        <f t="shared" si="7"/>
        <v>0.38263888888888886</v>
      </c>
      <c r="T30" s="6">
        <f t="shared" si="7"/>
        <v>0.38263888888888886</v>
      </c>
      <c r="U30" s="6">
        <f t="shared" si="6"/>
        <v>0.42638888888888871</v>
      </c>
      <c r="V30" s="1"/>
    </row>
    <row r="31" spans="2:24" x14ac:dyDescent="0.55000000000000004">
      <c r="G31" s="1" t="s">
        <v>4</v>
      </c>
      <c r="H31" s="6">
        <v>2.0833333333333333E-3</v>
      </c>
      <c r="I31" s="1" t="s">
        <v>4</v>
      </c>
      <c r="J31" s="6">
        <f t="shared" si="0"/>
        <v>0.39444444444444438</v>
      </c>
      <c r="K31" s="6">
        <f t="shared" si="5"/>
        <v>0.39930555555555547</v>
      </c>
      <c r="L31" s="6">
        <f t="shared" si="5"/>
        <v>0.40416666666666656</v>
      </c>
      <c r="M31" s="6">
        <f t="shared" si="5"/>
        <v>0.40902777777777766</v>
      </c>
      <c r="N31" s="6">
        <f t="shared" si="5"/>
        <v>0.41388888888888875</v>
      </c>
      <c r="O31" s="6">
        <f t="shared" si="5"/>
        <v>0.41874999999999984</v>
      </c>
      <c r="P31" s="6">
        <f t="shared" si="5"/>
        <v>0.42361111111111094</v>
      </c>
      <c r="Q31" s="6">
        <f t="shared" si="2"/>
        <v>0.38541666666666663</v>
      </c>
      <c r="R31" s="6">
        <f t="shared" si="7"/>
        <v>0.38541666666666663</v>
      </c>
      <c r="S31" s="6">
        <f t="shared" si="7"/>
        <v>0.38541666666666663</v>
      </c>
      <c r="T31" s="6">
        <f t="shared" si="7"/>
        <v>0.38541666666666663</v>
      </c>
      <c r="U31" s="6">
        <f t="shared" si="6"/>
        <v>0.42847222222222203</v>
      </c>
      <c r="V31" s="1"/>
    </row>
    <row r="32" spans="2:24" x14ac:dyDescent="0.55000000000000004">
      <c r="G32" s="1" t="s">
        <v>5</v>
      </c>
      <c r="H32" s="6">
        <v>3.472222222222222E-3</v>
      </c>
      <c r="I32" s="1" t="s">
        <v>5</v>
      </c>
      <c r="J32" s="6">
        <f>T32+$H32</f>
        <v>0.40277777777777768</v>
      </c>
      <c r="K32" s="6">
        <f>J32+$H32</f>
        <v>0.40624999999999989</v>
      </c>
      <c r="L32" s="6">
        <f>K32+$H32</f>
        <v>0.4097222222222221</v>
      </c>
      <c r="M32" s="6">
        <f>L32+$H32</f>
        <v>0.41319444444444431</v>
      </c>
      <c r="N32" s="6">
        <f t="shared" ref="N32:P33" si="8">N31+$H32</f>
        <v>0.41736111111111096</v>
      </c>
      <c r="O32" s="6">
        <f t="shared" si="8"/>
        <v>0.42222222222222205</v>
      </c>
      <c r="P32" s="6">
        <f t="shared" si="8"/>
        <v>0.42708333333333315</v>
      </c>
      <c r="Q32" s="6">
        <f t="shared" si="2"/>
        <v>0.38888888888888884</v>
      </c>
      <c r="R32" s="6">
        <f>Q32+$H44</f>
        <v>0.39236111111111105</v>
      </c>
      <c r="S32" s="6">
        <f>R32+$H44</f>
        <v>0.39583333333333326</v>
      </c>
      <c r="T32" s="6">
        <f>S32+$H44</f>
        <v>0.39930555555555547</v>
      </c>
      <c r="U32" s="6">
        <f t="shared" si="6"/>
        <v>0.43194444444444424</v>
      </c>
      <c r="V32" s="1"/>
    </row>
    <row r="33" spans="7:22" x14ac:dyDescent="0.55000000000000004">
      <c r="G33" s="1" t="s">
        <v>4</v>
      </c>
      <c r="H33" s="6">
        <v>1.3888888888888889E-3</v>
      </c>
      <c r="I33" s="1" t="s">
        <v>4</v>
      </c>
      <c r="J33" s="6">
        <f>J32+$H33</f>
        <v>0.40416666666666656</v>
      </c>
      <c r="K33" s="6">
        <f>K32+$H33</f>
        <v>0.40763888888888877</v>
      </c>
      <c r="L33" s="6">
        <f>L32+$H33</f>
        <v>0.41111111111111098</v>
      </c>
      <c r="M33" s="6">
        <f>M32+$H33</f>
        <v>0.41458333333333319</v>
      </c>
      <c r="N33" s="6">
        <f t="shared" si="8"/>
        <v>0.41874999999999984</v>
      </c>
      <c r="O33" s="6">
        <f t="shared" si="8"/>
        <v>0.42361111111111094</v>
      </c>
      <c r="P33" s="6">
        <f t="shared" si="8"/>
        <v>0.42847222222222203</v>
      </c>
      <c r="Q33" s="6">
        <f t="shared" si="2"/>
        <v>0.38958333333333328</v>
      </c>
      <c r="R33" s="6">
        <f>R32+$H45</f>
        <v>0.39305555555555549</v>
      </c>
      <c r="S33" s="6">
        <f>S32+$H45</f>
        <v>0.3965277777777777</v>
      </c>
      <c r="T33" s="6">
        <f>T32+$H45</f>
        <v>0.39999999999999991</v>
      </c>
      <c r="U33" s="6">
        <f t="shared" si="6"/>
        <v>0.43333333333333313</v>
      </c>
      <c r="V33" s="1"/>
    </row>
    <row r="34" spans="7:22" x14ac:dyDescent="0.55000000000000004">
      <c r="G34" s="1" t="s">
        <v>10</v>
      </c>
      <c r="H34" s="6">
        <v>3.472222222222222E-3</v>
      </c>
      <c r="I34" s="1" t="s">
        <v>10</v>
      </c>
      <c r="J34" s="6">
        <f t="shared" ref="J34:K36" si="9">J33+$H34</f>
        <v>0.40763888888888877</v>
      </c>
      <c r="K34" s="6">
        <f t="shared" si="9"/>
        <v>0.41111111111111098</v>
      </c>
      <c r="L34" s="6">
        <f t="shared" ref="L34:P34" si="10">L33+$H34</f>
        <v>0.41458333333333319</v>
      </c>
      <c r="M34" s="6">
        <f t="shared" si="10"/>
        <v>0.4180555555555554</v>
      </c>
      <c r="N34" s="6">
        <f t="shared" si="10"/>
        <v>0.42222222222222205</v>
      </c>
      <c r="O34" s="6">
        <f t="shared" si="10"/>
        <v>0.42708333333333315</v>
      </c>
      <c r="P34" s="6">
        <f t="shared" si="10"/>
        <v>0.43194444444444424</v>
      </c>
      <c r="Q34" s="6">
        <f t="shared" si="2"/>
        <v>0.39236111111111105</v>
      </c>
      <c r="R34" s="6">
        <f t="shared" ref="R34:T34" si="11">R33+$H46</f>
        <v>0.39583333333333326</v>
      </c>
      <c r="S34" s="6">
        <f t="shared" si="11"/>
        <v>0.39930555555555547</v>
      </c>
      <c r="T34" s="6">
        <f t="shared" si="11"/>
        <v>0.40277777777777768</v>
      </c>
      <c r="U34" s="6">
        <f t="shared" si="6"/>
        <v>0.43680555555555534</v>
      </c>
      <c r="V34" s="1"/>
    </row>
    <row r="35" spans="7:22" x14ac:dyDescent="0.55000000000000004">
      <c r="G35" s="1" t="s">
        <v>6</v>
      </c>
      <c r="H35" s="6">
        <v>1.3888888888888889E-3</v>
      </c>
      <c r="I35" s="1" t="s">
        <v>6</v>
      </c>
      <c r="J35" s="6">
        <f t="shared" si="9"/>
        <v>0.40902777777777766</v>
      </c>
      <c r="K35" s="6">
        <f t="shared" si="9"/>
        <v>0.41249999999999987</v>
      </c>
      <c r="L35" s="6">
        <f t="shared" ref="L35:P36" si="12">L34+$H35</f>
        <v>0.41597222222222208</v>
      </c>
      <c r="M35" s="6">
        <f t="shared" si="12"/>
        <v>0.41944444444444429</v>
      </c>
      <c r="N35" s="6">
        <f t="shared" si="12"/>
        <v>0.42361111111111094</v>
      </c>
      <c r="O35" s="6">
        <f t="shared" si="12"/>
        <v>0.42847222222222203</v>
      </c>
      <c r="P35" s="6">
        <f t="shared" si="12"/>
        <v>0.43333333333333313</v>
      </c>
      <c r="Q35" s="6">
        <f t="shared" si="2"/>
        <v>0.39444444444444438</v>
      </c>
      <c r="R35" s="6">
        <f t="shared" ref="R35:T36" si="13">R34+$H47</f>
        <v>0.39791666666666659</v>
      </c>
      <c r="S35" s="6">
        <f t="shared" si="13"/>
        <v>0.4013888888888888</v>
      </c>
      <c r="T35" s="6">
        <f t="shared" si="13"/>
        <v>0.40486111111111101</v>
      </c>
      <c r="U35" s="6">
        <f t="shared" si="6"/>
        <v>0.43819444444444422</v>
      </c>
      <c r="V35" s="1"/>
    </row>
    <row r="36" spans="7:22" x14ac:dyDescent="0.55000000000000004">
      <c r="G36" s="1" t="s">
        <v>7</v>
      </c>
      <c r="H36" s="6">
        <v>3.472222222222222E-3</v>
      </c>
      <c r="I36" s="1" t="s">
        <v>7</v>
      </c>
      <c r="J36" s="6">
        <f t="shared" si="9"/>
        <v>0.41249999999999987</v>
      </c>
      <c r="K36" s="6">
        <f t="shared" si="9"/>
        <v>0.41597222222222208</v>
      </c>
      <c r="L36" s="6">
        <f t="shared" si="12"/>
        <v>0.41944444444444429</v>
      </c>
      <c r="M36" s="6">
        <f t="shared" si="12"/>
        <v>0.4229166666666665</v>
      </c>
      <c r="N36" s="6">
        <f t="shared" si="12"/>
        <v>0.42708333333333315</v>
      </c>
      <c r="O36" s="6">
        <f t="shared" si="12"/>
        <v>0.43194444444444424</v>
      </c>
      <c r="P36" s="6">
        <f t="shared" si="12"/>
        <v>0.43680555555555534</v>
      </c>
      <c r="Q36" s="6">
        <f t="shared" si="2"/>
        <v>0.3965277777777777</v>
      </c>
      <c r="R36" s="6">
        <f t="shared" si="13"/>
        <v>0.39999999999999991</v>
      </c>
      <c r="S36" s="6">
        <f t="shared" si="13"/>
        <v>0.40347222222222212</v>
      </c>
      <c r="T36" s="6">
        <f t="shared" si="13"/>
        <v>0.40694444444444433</v>
      </c>
      <c r="U36" s="6">
        <f t="shared" si="6"/>
        <v>0.44166666666666643</v>
      </c>
      <c r="V36" s="1"/>
    </row>
    <row r="37" spans="7:22" x14ac:dyDescent="0.55000000000000004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7:22" x14ac:dyDescent="0.55000000000000004">
      <c r="G38" s="2" t="s">
        <v>8</v>
      </c>
      <c r="H38" s="6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7:22" x14ac:dyDescent="0.55000000000000004">
      <c r="G39" s="3" t="s">
        <v>4</v>
      </c>
      <c r="H39" s="6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7:22" x14ac:dyDescent="0.55000000000000004">
      <c r="G40" s="3" t="s">
        <v>9</v>
      </c>
      <c r="H40" s="6">
        <v>0</v>
      </c>
    </row>
    <row r="41" spans="7:22" x14ac:dyDescent="0.55000000000000004">
      <c r="G41" s="3" t="s">
        <v>4</v>
      </c>
      <c r="H41" s="6">
        <v>1.3888888888888889E-3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7:22" x14ac:dyDescent="0.55000000000000004">
      <c r="G42" s="1" t="s">
        <v>3</v>
      </c>
      <c r="H42" s="6">
        <v>6.2500000000000003E-3</v>
      </c>
    </row>
    <row r="43" spans="7:22" x14ac:dyDescent="0.55000000000000004">
      <c r="G43" s="1" t="s">
        <v>4</v>
      </c>
      <c r="H43" s="6">
        <v>2.7777777777777779E-3</v>
      </c>
    </row>
    <row r="44" spans="7:22" x14ac:dyDescent="0.55000000000000004">
      <c r="G44" s="1" t="s">
        <v>5</v>
      </c>
      <c r="H44" s="6">
        <v>3.472222222222222E-3</v>
      </c>
    </row>
    <row r="45" spans="7:22" x14ac:dyDescent="0.55000000000000004">
      <c r="G45" s="1" t="s">
        <v>4</v>
      </c>
      <c r="H45" s="6">
        <v>6.9444444444444447E-4</v>
      </c>
    </row>
    <row r="46" spans="7:22" x14ac:dyDescent="0.55000000000000004">
      <c r="G46" s="1" t="s">
        <v>10</v>
      </c>
      <c r="H46" s="6">
        <v>2.7777777777777779E-3</v>
      </c>
    </row>
    <row r="47" spans="7:22" x14ac:dyDescent="0.55000000000000004">
      <c r="G47" s="1" t="s">
        <v>6</v>
      </c>
      <c r="H47" s="6">
        <v>2.0833333333333333E-3</v>
      </c>
    </row>
    <row r="48" spans="7:22" x14ac:dyDescent="0.55000000000000004">
      <c r="G48" s="1" t="s">
        <v>7</v>
      </c>
      <c r="H48" s="6">
        <v>2.0833333333333333E-3</v>
      </c>
    </row>
  </sheetData>
  <mergeCells count="3">
    <mergeCell ref="B6:F6"/>
    <mergeCell ref="B7:C7"/>
    <mergeCell ref="E7:F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ABDD-F714-46A5-95CC-EAE754BD0BCB}">
  <dimension ref="B4:Z48"/>
  <sheetViews>
    <sheetView zoomScale="51" workbookViewId="0">
      <selection activeCell="H5" sqref="H5:U16"/>
    </sheetView>
  </sheetViews>
  <sheetFormatPr defaultRowHeight="17.600000000000001" x14ac:dyDescent="0.55000000000000004"/>
  <cols>
    <col min="2" max="2" width="17.640625" bestFit="1" customWidth="1"/>
    <col min="5" max="5" width="17.640625" bestFit="1" customWidth="1"/>
    <col min="7" max="7" width="17.640625" bestFit="1" customWidth="1"/>
    <col min="9" max="9" width="17.640625" bestFit="1" customWidth="1"/>
  </cols>
  <sheetData>
    <row r="4" spans="2:21" x14ac:dyDescent="0.55000000000000004">
      <c r="G4" s="1"/>
      <c r="H4" s="1"/>
      <c r="I4" s="1"/>
      <c r="J4" s="1"/>
      <c r="K4" s="1"/>
      <c r="L4" s="1"/>
      <c r="M4" s="1"/>
      <c r="N4" s="1"/>
      <c r="O4" s="1"/>
    </row>
    <row r="5" spans="2:21" x14ac:dyDescent="0.55000000000000004">
      <c r="G5" s="1"/>
      <c r="H5" s="1"/>
      <c r="I5" s="1" t="s">
        <v>37</v>
      </c>
      <c r="J5" s="1" t="s">
        <v>38</v>
      </c>
      <c r="K5" s="1" t="s">
        <v>40</v>
      </c>
      <c r="L5" s="1"/>
      <c r="P5" s="1"/>
      <c r="Q5" s="1"/>
      <c r="R5" s="1"/>
      <c r="S5" s="1"/>
      <c r="T5" s="1"/>
      <c r="U5" s="1"/>
    </row>
    <row r="6" spans="2:21" x14ac:dyDescent="0.55000000000000004">
      <c r="B6" s="15" t="s">
        <v>35</v>
      </c>
      <c r="C6" s="15"/>
      <c r="D6" s="15"/>
      <c r="E6" s="15"/>
      <c r="F6" s="15"/>
      <c r="G6" s="1"/>
      <c r="H6" s="1" t="s">
        <v>12</v>
      </c>
      <c r="I6" s="1" t="s">
        <v>15</v>
      </c>
      <c r="J6" s="1" t="s">
        <v>39</v>
      </c>
      <c r="K6" s="1" t="s">
        <v>41</v>
      </c>
      <c r="L6" s="1"/>
      <c r="P6" s="1"/>
      <c r="Q6" s="1" t="s">
        <v>16</v>
      </c>
      <c r="R6" s="1"/>
      <c r="S6" s="1" t="s">
        <v>18</v>
      </c>
      <c r="T6" s="1"/>
      <c r="U6" s="1"/>
    </row>
    <row r="7" spans="2:21" x14ac:dyDescent="0.55000000000000004">
      <c r="B7" s="15" t="s">
        <v>0</v>
      </c>
      <c r="C7" s="15"/>
      <c r="E7" s="15" t="s">
        <v>1</v>
      </c>
      <c r="F7" s="15"/>
      <c r="G7" s="1"/>
      <c r="H7" s="1" t="s">
        <v>13</v>
      </c>
      <c r="I7" s="1" t="s">
        <v>14</v>
      </c>
      <c r="J7" s="1" t="s">
        <v>42</v>
      </c>
      <c r="K7" s="12">
        <f>60/8</f>
        <v>7.5</v>
      </c>
      <c r="L7" s="1"/>
      <c r="P7" s="1"/>
      <c r="Q7" s="1" t="s">
        <v>25</v>
      </c>
      <c r="R7" s="1"/>
      <c r="S7" s="1" t="s">
        <v>19</v>
      </c>
      <c r="T7" s="1"/>
      <c r="U7" s="1"/>
    </row>
    <row r="8" spans="2:21" x14ac:dyDescent="0.55000000000000004">
      <c r="B8" s="1" t="s">
        <v>2</v>
      </c>
      <c r="C8" s="1">
        <v>8</v>
      </c>
      <c r="D8" s="1"/>
      <c r="E8" s="1" t="s">
        <v>2</v>
      </c>
      <c r="F8" s="1">
        <v>12</v>
      </c>
      <c r="G8" s="1"/>
      <c r="H8" s="1"/>
      <c r="I8" s="1"/>
      <c r="J8" s="1"/>
      <c r="K8" s="1"/>
      <c r="L8" s="1"/>
      <c r="P8" s="1"/>
      <c r="Q8" s="1" t="s">
        <v>17</v>
      </c>
      <c r="R8" s="1"/>
      <c r="S8" s="1" t="s">
        <v>15</v>
      </c>
      <c r="T8" s="1"/>
      <c r="U8" s="1"/>
    </row>
    <row r="9" spans="2:21" x14ac:dyDescent="0.55000000000000004">
      <c r="B9" s="2" t="s">
        <v>8</v>
      </c>
      <c r="C9" s="1">
        <v>7</v>
      </c>
      <c r="D9" s="1"/>
      <c r="E9" s="2" t="s">
        <v>8</v>
      </c>
      <c r="F9" s="1">
        <v>0</v>
      </c>
      <c r="G9" s="1"/>
      <c r="H9" s="1"/>
      <c r="I9" s="1"/>
      <c r="J9" s="1"/>
      <c r="K9" s="1"/>
      <c r="L9" s="1"/>
      <c r="P9" s="1"/>
      <c r="Q9" s="1" t="s">
        <v>26</v>
      </c>
      <c r="R9" s="1"/>
      <c r="S9" s="1"/>
      <c r="T9" s="1"/>
      <c r="U9" s="1"/>
    </row>
    <row r="10" spans="2:21" x14ac:dyDescent="0.55000000000000004">
      <c r="B10" s="3" t="s">
        <v>4</v>
      </c>
      <c r="C10" s="1">
        <v>2</v>
      </c>
      <c r="E10" s="3" t="s">
        <v>4</v>
      </c>
      <c r="F10" s="1">
        <v>0</v>
      </c>
      <c r="G10" s="1"/>
      <c r="H10" s="1" t="s">
        <v>20</v>
      </c>
      <c r="I10" s="1" t="s">
        <v>21</v>
      </c>
      <c r="J10" s="1"/>
      <c r="K10" s="1"/>
      <c r="L10" s="1"/>
      <c r="P10" s="1"/>
      <c r="Q10" s="1"/>
      <c r="R10" s="1"/>
      <c r="S10" s="1"/>
      <c r="T10" s="1"/>
      <c r="U10" s="1"/>
    </row>
    <row r="11" spans="2:21" x14ac:dyDescent="0.55000000000000004">
      <c r="B11" s="3" t="s">
        <v>9</v>
      </c>
      <c r="C11" s="1">
        <v>6</v>
      </c>
      <c r="D11" s="1"/>
      <c r="E11" s="3" t="s">
        <v>9</v>
      </c>
      <c r="F11" s="1">
        <v>0</v>
      </c>
      <c r="G11" s="1"/>
      <c r="H11" s="1"/>
      <c r="I11" s="1" t="s">
        <v>24</v>
      </c>
      <c r="J11" s="1"/>
      <c r="K11" s="1"/>
      <c r="L11" s="1"/>
      <c r="P11" s="1"/>
      <c r="Q11" s="1"/>
      <c r="R11" s="1"/>
      <c r="S11" s="1"/>
      <c r="T11" s="1"/>
      <c r="U11" s="1"/>
    </row>
    <row r="12" spans="2:21" x14ac:dyDescent="0.55000000000000004">
      <c r="B12" s="3" t="s">
        <v>4</v>
      </c>
      <c r="C12" s="1">
        <v>3</v>
      </c>
      <c r="D12" s="1"/>
      <c r="E12" s="3" t="s">
        <v>4</v>
      </c>
      <c r="F12" s="1">
        <v>2</v>
      </c>
      <c r="G12" s="1"/>
      <c r="H12" s="1"/>
      <c r="I12" s="1" t="s">
        <v>23</v>
      </c>
      <c r="J12" s="1"/>
      <c r="K12" s="1"/>
      <c r="L12" s="1"/>
      <c r="P12" s="1"/>
      <c r="Q12" s="1"/>
      <c r="R12" s="1"/>
      <c r="S12" s="1"/>
      <c r="T12" s="1"/>
      <c r="U12" s="1"/>
    </row>
    <row r="13" spans="2:21" x14ac:dyDescent="0.55000000000000004">
      <c r="B13" s="1" t="s">
        <v>3</v>
      </c>
      <c r="C13" s="1">
        <v>7</v>
      </c>
      <c r="D13" s="1"/>
      <c r="E13" s="1" t="s">
        <v>3</v>
      </c>
      <c r="F13" s="1">
        <v>9</v>
      </c>
      <c r="H13" s="1"/>
      <c r="I13" s="1"/>
      <c r="J13" s="1"/>
      <c r="K13" s="1"/>
      <c r="L13" s="1"/>
    </row>
    <row r="14" spans="2:21" x14ac:dyDescent="0.55000000000000004">
      <c r="B14" s="1" t="s">
        <v>4</v>
      </c>
      <c r="C14" s="1">
        <v>3</v>
      </c>
      <c r="D14" s="1"/>
      <c r="E14" s="1" t="s">
        <v>4</v>
      </c>
      <c r="F14" s="1">
        <v>4</v>
      </c>
      <c r="H14" s="1"/>
      <c r="I14" s="1"/>
      <c r="J14" s="1"/>
      <c r="K14" s="1"/>
      <c r="L14" s="1"/>
    </row>
    <row r="15" spans="2:21" x14ac:dyDescent="0.55000000000000004">
      <c r="B15" s="1" t="s">
        <v>5</v>
      </c>
      <c r="C15" s="1">
        <v>5</v>
      </c>
      <c r="D15" s="1"/>
      <c r="E15" s="1" t="s">
        <v>5</v>
      </c>
      <c r="F15" s="1">
        <v>5</v>
      </c>
    </row>
    <row r="16" spans="2:21" x14ac:dyDescent="0.55000000000000004">
      <c r="B16" s="1" t="s">
        <v>4</v>
      </c>
      <c r="C16" s="1">
        <v>2</v>
      </c>
      <c r="D16" s="1"/>
      <c r="E16" s="1" t="s">
        <v>4</v>
      </c>
      <c r="F16" s="1">
        <v>1</v>
      </c>
    </row>
    <row r="17" spans="2:26" x14ac:dyDescent="0.55000000000000004">
      <c r="B17" s="1" t="s">
        <v>10</v>
      </c>
      <c r="C17" s="1">
        <v>5</v>
      </c>
      <c r="D17" s="1"/>
      <c r="E17" s="1" t="s">
        <v>10</v>
      </c>
      <c r="F17" s="1">
        <v>4</v>
      </c>
    </row>
    <row r="18" spans="2:26" x14ac:dyDescent="0.55000000000000004">
      <c r="B18" s="1" t="s">
        <v>6</v>
      </c>
      <c r="C18" s="1">
        <v>2</v>
      </c>
      <c r="D18" s="1"/>
      <c r="E18" s="1" t="s">
        <v>6</v>
      </c>
      <c r="F18" s="1">
        <v>3</v>
      </c>
    </row>
    <row r="19" spans="2:26" x14ac:dyDescent="0.55000000000000004">
      <c r="B19" s="1" t="s">
        <v>7</v>
      </c>
      <c r="C19" s="1">
        <v>5</v>
      </c>
      <c r="D19" s="1"/>
      <c r="E19" s="1" t="s">
        <v>7</v>
      </c>
      <c r="F19" s="1">
        <v>3</v>
      </c>
    </row>
    <row r="20" spans="2:26" x14ac:dyDescent="0.55000000000000004">
      <c r="B20" s="1" t="s">
        <v>22</v>
      </c>
      <c r="C20" s="1">
        <f>SUM(C8:C19)</f>
        <v>55</v>
      </c>
      <c r="D20" s="1"/>
      <c r="E20" s="1" t="s">
        <v>22</v>
      </c>
      <c r="F20" s="1">
        <f>SUM(F8:F19)</f>
        <v>43</v>
      </c>
    </row>
    <row r="21" spans="2:26" x14ac:dyDescent="0.55000000000000004">
      <c r="B21" s="1" t="s">
        <v>28</v>
      </c>
      <c r="C21" s="1">
        <f>SUM(C9:C19)</f>
        <v>47</v>
      </c>
      <c r="D21" s="1"/>
      <c r="E21" s="1" t="s">
        <v>28</v>
      </c>
      <c r="F21" s="1">
        <f>SUM(F9:F19)</f>
        <v>31</v>
      </c>
    </row>
    <row r="23" spans="2:26" x14ac:dyDescent="0.55000000000000004">
      <c r="J23" t="s">
        <v>29</v>
      </c>
    </row>
    <row r="24" spans="2:26" x14ac:dyDescent="0.55000000000000004">
      <c r="J24" s="4">
        <v>1</v>
      </c>
      <c r="K24" s="4">
        <v>2</v>
      </c>
      <c r="L24" s="5">
        <v>1</v>
      </c>
      <c r="M24" s="4">
        <v>3</v>
      </c>
      <c r="N24" s="4">
        <v>4</v>
      </c>
      <c r="O24" s="5">
        <v>2</v>
      </c>
      <c r="P24" s="4">
        <v>5</v>
      </c>
      <c r="Q24" s="4">
        <v>6</v>
      </c>
      <c r="R24" s="5">
        <v>3</v>
      </c>
      <c r="S24" s="4">
        <v>7</v>
      </c>
      <c r="T24" s="4">
        <v>8</v>
      </c>
      <c r="U24" s="5">
        <v>4</v>
      </c>
    </row>
    <row r="25" spans="2:26" x14ac:dyDescent="0.55000000000000004">
      <c r="I25" s="1" t="s">
        <v>27</v>
      </c>
      <c r="J25" s="6">
        <v>0.375</v>
      </c>
      <c r="K25" s="6">
        <v>0.375</v>
      </c>
      <c r="L25" s="6">
        <v>0.375</v>
      </c>
      <c r="M25" s="6">
        <v>0.375</v>
      </c>
      <c r="N25" s="6">
        <v>0.375</v>
      </c>
      <c r="O25" s="6">
        <v>0.375</v>
      </c>
      <c r="P25" s="6">
        <v>0.375</v>
      </c>
      <c r="Q25" s="6">
        <v>0.375</v>
      </c>
      <c r="R25" s="6">
        <v>0.375</v>
      </c>
      <c r="S25" s="6">
        <v>0.375</v>
      </c>
      <c r="T25" s="6">
        <v>0.375</v>
      </c>
      <c r="U25" s="6">
        <v>0.375</v>
      </c>
      <c r="W25" s="1"/>
      <c r="X25" t="s">
        <v>30</v>
      </c>
      <c r="Z25">
        <v>1</v>
      </c>
    </row>
    <row r="26" spans="2:26" x14ac:dyDescent="0.55000000000000004">
      <c r="G26" s="2" t="s">
        <v>8</v>
      </c>
      <c r="H26" s="6">
        <v>4.8611111111111112E-3</v>
      </c>
      <c r="I26" s="2" t="s">
        <v>8</v>
      </c>
      <c r="J26" s="8">
        <f t="shared" ref="J26:J31" si="0">J25+$H26</f>
        <v>0.37986111111111109</v>
      </c>
      <c r="K26" s="8">
        <f>J26+$H26</f>
        <v>0.38472222222222219</v>
      </c>
      <c r="L26" s="10">
        <f t="shared" ref="L26:L36" si="1">L25+$H38</f>
        <v>0.375</v>
      </c>
      <c r="M26" s="8">
        <f>K26+$H26</f>
        <v>0.38958333333333328</v>
      </c>
      <c r="N26" s="8">
        <f>M26+$H26</f>
        <v>0.39444444444444438</v>
      </c>
      <c r="O26" s="10">
        <f t="shared" ref="O26:O31" si="2">O25+$H38</f>
        <v>0.375</v>
      </c>
      <c r="P26" s="8">
        <f>N26+$H26</f>
        <v>0.39930555555555547</v>
      </c>
      <c r="Q26" s="8">
        <f>P26+$H26</f>
        <v>0.40416666666666656</v>
      </c>
      <c r="R26" s="10">
        <f t="shared" ref="R26:R31" si="3">R25+$H38</f>
        <v>0.375</v>
      </c>
      <c r="S26" s="8">
        <f>Q26+$H26</f>
        <v>0.40902777777777766</v>
      </c>
      <c r="T26" s="8">
        <f>S26+$H26</f>
        <v>0.41388888888888875</v>
      </c>
      <c r="U26" s="10">
        <f t="shared" ref="U26:U31" si="4">U25+$H38</f>
        <v>0.375</v>
      </c>
      <c r="W26" s="1"/>
      <c r="X26" t="s">
        <v>31</v>
      </c>
      <c r="Z26">
        <v>4</v>
      </c>
    </row>
    <row r="27" spans="2:26" x14ac:dyDescent="0.55000000000000004">
      <c r="G27" s="3" t="s">
        <v>4</v>
      </c>
      <c r="H27" s="6">
        <v>1.3888888888888889E-3</v>
      </c>
      <c r="I27" s="3" t="s">
        <v>4</v>
      </c>
      <c r="J27" s="7">
        <f t="shared" si="0"/>
        <v>0.38124999999999998</v>
      </c>
      <c r="K27" s="7">
        <f t="shared" ref="K27:K28" si="5">K26+$H27</f>
        <v>0.38611111111111107</v>
      </c>
      <c r="L27" s="11">
        <f t="shared" si="1"/>
        <v>0.375</v>
      </c>
      <c r="M27" s="7">
        <f t="shared" ref="M27:N31" si="6">M26+$H27</f>
        <v>0.39097222222222217</v>
      </c>
      <c r="N27" s="7">
        <f t="shared" si="6"/>
        <v>0.39583333333333326</v>
      </c>
      <c r="O27" s="11">
        <f t="shared" si="2"/>
        <v>0.375</v>
      </c>
      <c r="P27" s="7">
        <f t="shared" ref="P27:Q33" si="7">P26+$H27</f>
        <v>0.40069444444444435</v>
      </c>
      <c r="Q27" s="7">
        <f t="shared" si="7"/>
        <v>0.40555555555555545</v>
      </c>
      <c r="R27" s="11">
        <f t="shared" si="3"/>
        <v>0.375</v>
      </c>
      <c r="S27" s="7">
        <f t="shared" ref="S27:T31" si="8">S26+$H27</f>
        <v>0.41041666666666654</v>
      </c>
      <c r="T27" s="7">
        <f t="shared" si="8"/>
        <v>0.41527777777777763</v>
      </c>
      <c r="U27" s="11">
        <f t="shared" si="4"/>
        <v>0.375</v>
      </c>
      <c r="W27" s="6"/>
    </row>
    <row r="28" spans="2:26" x14ac:dyDescent="0.55000000000000004">
      <c r="G28" s="3" t="s">
        <v>9</v>
      </c>
      <c r="H28" s="6">
        <v>4.1666666666666666E-3</v>
      </c>
      <c r="I28" s="3" t="s">
        <v>9</v>
      </c>
      <c r="J28" s="7">
        <f t="shared" si="0"/>
        <v>0.38541666666666663</v>
      </c>
      <c r="K28" s="7">
        <f t="shared" si="5"/>
        <v>0.39027777777777772</v>
      </c>
      <c r="L28" s="11">
        <f t="shared" si="1"/>
        <v>0.375</v>
      </c>
      <c r="M28" s="7">
        <f t="shared" si="6"/>
        <v>0.39513888888888882</v>
      </c>
      <c r="N28" s="7">
        <f t="shared" si="6"/>
        <v>0.39999999999999991</v>
      </c>
      <c r="O28" s="11">
        <f t="shared" si="2"/>
        <v>0.375</v>
      </c>
      <c r="P28" s="7">
        <f t="shared" si="7"/>
        <v>0.40486111111111101</v>
      </c>
      <c r="Q28" s="7">
        <f t="shared" si="7"/>
        <v>0.4097222222222221</v>
      </c>
      <c r="R28" s="11">
        <f t="shared" si="3"/>
        <v>0.375</v>
      </c>
      <c r="S28" s="7">
        <f t="shared" si="8"/>
        <v>0.41458333333333319</v>
      </c>
      <c r="T28" s="7">
        <f t="shared" si="8"/>
        <v>0.41944444444444429</v>
      </c>
      <c r="U28" s="11">
        <f t="shared" si="4"/>
        <v>0.375</v>
      </c>
      <c r="W28" s="6"/>
    </row>
    <row r="29" spans="2:26" x14ac:dyDescent="0.55000000000000004">
      <c r="G29" s="3" t="s">
        <v>4</v>
      </c>
      <c r="H29" s="6">
        <v>2.0833333333333333E-3</v>
      </c>
      <c r="I29" s="3" t="s">
        <v>4</v>
      </c>
      <c r="J29" s="7">
        <f t="shared" si="0"/>
        <v>0.38749999999999996</v>
      </c>
      <c r="K29" s="7">
        <f>K28+$H29</f>
        <v>0.39236111111111105</v>
      </c>
      <c r="L29" s="11">
        <f t="shared" si="1"/>
        <v>0.37638888888888888</v>
      </c>
      <c r="M29" s="7">
        <f t="shared" si="6"/>
        <v>0.39722222222222214</v>
      </c>
      <c r="N29" s="7">
        <f t="shared" si="6"/>
        <v>0.40208333333333324</v>
      </c>
      <c r="O29" s="11">
        <f t="shared" si="2"/>
        <v>0.37638888888888888</v>
      </c>
      <c r="P29" s="7">
        <f t="shared" si="7"/>
        <v>0.40694444444444433</v>
      </c>
      <c r="Q29" s="7">
        <f t="shared" si="7"/>
        <v>0.41180555555555542</v>
      </c>
      <c r="R29" s="11">
        <f t="shared" si="3"/>
        <v>0.37638888888888888</v>
      </c>
      <c r="S29" s="7">
        <f t="shared" si="8"/>
        <v>0.41666666666666652</v>
      </c>
      <c r="T29" s="7">
        <f t="shared" si="8"/>
        <v>0.42152777777777761</v>
      </c>
      <c r="U29" s="11">
        <f t="shared" si="4"/>
        <v>0.37638888888888888</v>
      </c>
      <c r="W29" s="1"/>
    </row>
    <row r="30" spans="2:26" x14ac:dyDescent="0.55000000000000004">
      <c r="G30" s="1" t="s">
        <v>3</v>
      </c>
      <c r="H30" s="6">
        <v>4.8611111111111112E-3</v>
      </c>
      <c r="I30" s="1" t="s">
        <v>3</v>
      </c>
      <c r="J30" s="6">
        <f t="shared" si="0"/>
        <v>0.39236111111111105</v>
      </c>
      <c r="K30" s="6">
        <f>K29+$H30</f>
        <v>0.39722222222222214</v>
      </c>
      <c r="L30" s="6">
        <f t="shared" si="1"/>
        <v>0.38263888888888886</v>
      </c>
      <c r="M30" s="6">
        <f t="shared" si="6"/>
        <v>0.40208333333333324</v>
      </c>
      <c r="N30" s="6">
        <f t="shared" si="6"/>
        <v>0.40694444444444433</v>
      </c>
      <c r="O30" s="6">
        <f t="shared" si="2"/>
        <v>0.38263888888888886</v>
      </c>
      <c r="P30" s="6">
        <f t="shared" si="7"/>
        <v>0.41180555555555542</v>
      </c>
      <c r="Q30" s="6">
        <f t="shared" si="7"/>
        <v>0.41666666666666652</v>
      </c>
      <c r="R30" s="6">
        <f t="shared" si="3"/>
        <v>0.38263888888888886</v>
      </c>
      <c r="S30" s="6">
        <f t="shared" si="8"/>
        <v>0.42152777777777761</v>
      </c>
      <c r="T30" s="6">
        <f t="shared" si="8"/>
        <v>0.42638888888888871</v>
      </c>
      <c r="U30" s="6">
        <f t="shared" si="4"/>
        <v>0.38263888888888886</v>
      </c>
      <c r="W30" s="1"/>
    </row>
    <row r="31" spans="2:26" x14ac:dyDescent="0.55000000000000004">
      <c r="G31" s="1" t="s">
        <v>4</v>
      </c>
      <c r="H31" s="6">
        <v>2.0833333333333333E-3</v>
      </c>
      <c r="I31" s="1" t="s">
        <v>4</v>
      </c>
      <c r="J31" s="6">
        <f t="shared" si="0"/>
        <v>0.39444444444444438</v>
      </c>
      <c r="K31" s="6">
        <f>K30+$H31</f>
        <v>0.39930555555555547</v>
      </c>
      <c r="L31" s="6">
        <f t="shared" si="1"/>
        <v>0.38541666666666663</v>
      </c>
      <c r="M31" s="6">
        <f t="shared" si="6"/>
        <v>0.40416666666666656</v>
      </c>
      <c r="N31" s="6">
        <f t="shared" si="6"/>
        <v>0.40902777777777766</v>
      </c>
      <c r="O31" s="6">
        <f t="shared" si="2"/>
        <v>0.38541666666666663</v>
      </c>
      <c r="P31" s="6">
        <f t="shared" si="7"/>
        <v>0.41388888888888875</v>
      </c>
      <c r="Q31" s="6">
        <f t="shared" si="7"/>
        <v>0.41874999999999984</v>
      </c>
      <c r="R31" s="6">
        <f t="shared" si="3"/>
        <v>0.38541666666666663</v>
      </c>
      <c r="S31" s="6">
        <f t="shared" si="8"/>
        <v>0.42361111111111094</v>
      </c>
      <c r="T31" s="6">
        <f t="shared" si="8"/>
        <v>0.42847222222222203</v>
      </c>
      <c r="U31" s="6">
        <f t="shared" si="4"/>
        <v>0.38541666666666663</v>
      </c>
      <c r="W31" s="1"/>
    </row>
    <row r="32" spans="2:26" x14ac:dyDescent="0.55000000000000004">
      <c r="G32" s="1" t="s">
        <v>5</v>
      </c>
      <c r="H32" s="6">
        <v>3.472222222222222E-3</v>
      </c>
      <c r="I32" s="1" t="s">
        <v>5</v>
      </c>
      <c r="J32" s="6">
        <f>U32+$H32</f>
        <v>0.40277777777777768</v>
      </c>
      <c r="K32" s="6">
        <f>J32+$H32</f>
        <v>0.40624999999999989</v>
      </c>
      <c r="L32" s="6">
        <f t="shared" si="1"/>
        <v>0.38888888888888884</v>
      </c>
      <c r="M32" s="6">
        <f>K32+$H32</f>
        <v>0.4097222222222221</v>
      </c>
      <c r="N32" s="6">
        <f>M32+$H32</f>
        <v>0.41319444444444431</v>
      </c>
      <c r="O32" s="6">
        <f>L32+$H44</f>
        <v>0.39236111111111105</v>
      </c>
      <c r="P32" s="6">
        <f t="shared" si="7"/>
        <v>0.41736111111111096</v>
      </c>
      <c r="Q32" s="6">
        <f t="shared" si="7"/>
        <v>0.42222222222222205</v>
      </c>
      <c r="R32" s="6">
        <f>O32+$H44</f>
        <v>0.39583333333333326</v>
      </c>
      <c r="S32" s="6">
        <f t="shared" ref="S32:T32" si="9">S31+$H32</f>
        <v>0.42708333333333315</v>
      </c>
      <c r="T32" s="6">
        <f t="shared" si="9"/>
        <v>0.43194444444444424</v>
      </c>
      <c r="U32" s="6">
        <f>R32+$H44</f>
        <v>0.39930555555555547</v>
      </c>
      <c r="W32" s="1"/>
    </row>
    <row r="33" spans="7:23" x14ac:dyDescent="0.55000000000000004">
      <c r="G33" s="1" t="s">
        <v>4</v>
      </c>
      <c r="H33" s="6">
        <v>1.3888888888888889E-3</v>
      </c>
      <c r="I33" s="1" t="s">
        <v>4</v>
      </c>
      <c r="J33" s="6">
        <f>J32+$H33</f>
        <v>0.40416666666666656</v>
      </c>
      <c r="K33" s="6">
        <f>K32+$H33</f>
        <v>0.40763888888888877</v>
      </c>
      <c r="L33" s="6">
        <f t="shared" si="1"/>
        <v>0.38958333333333328</v>
      </c>
      <c r="M33" s="6">
        <f>M32+$H33</f>
        <v>0.41111111111111098</v>
      </c>
      <c r="N33" s="6">
        <f>N32+$H33</f>
        <v>0.41458333333333319</v>
      </c>
      <c r="O33" s="6">
        <f>O32+$H45</f>
        <v>0.39305555555555549</v>
      </c>
      <c r="P33" s="6">
        <f t="shared" si="7"/>
        <v>0.41874999999999984</v>
      </c>
      <c r="Q33" s="6">
        <f t="shared" si="7"/>
        <v>0.42361111111111094</v>
      </c>
      <c r="R33" s="6">
        <f>R32+$H45</f>
        <v>0.3965277777777777</v>
      </c>
      <c r="S33" s="6">
        <f>S32+$H33</f>
        <v>0.42847222222222203</v>
      </c>
      <c r="T33" s="6">
        <f>T32+$H33</f>
        <v>0.43333333333333313</v>
      </c>
      <c r="U33" s="6">
        <f>U32+$H45</f>
        <v>0.39999999999999991</v>
      </c>
      <c r="W33" s="1"/>
    </row>
    <row r="34" spans="7:23" x14ac:dyDescent="0.55000000000000004">
      <c r="G34" s="1" t="s">
        <v>10</v>
      </c>
      <c r="H34" s="6">
        <v>3.472222222222222E-3</v>
      </c>
      <c r="I34" s="1" t="s">
        <v>10</v>
      </c>
      <c r="J34" s="6">
        <f>J33+$H34</f>
        <v>0.40763888888888877</v>
      </c>
      <c r="K34" s="6">
        <f t="shared" ref="K34:T34" si="10">K33+$H34</f>
        <v>0.41111111111111098</v>
      </c>
      <c r="L34" s="6">
        <f t="shared" si="1"/>
        <v>0.39236111111111105</v>
      </c>
      <c r="M34" s="6">
        <f t="shared" si="10"/>
        <v>0.41458333333333319</v>
      </c>
      <c r="N34" s="6">
        <f t="shared" si="10"/>
        <v>0.4180555555555554</v>
      </c>
      <c r="O34" s="6">
        <f>O33+$H46</f>
        <v>0.39583333333333326</v>
      </c>
      <c r="P34" s="6">
        <f t="shared" si="10"/>
        <v>0.42222222222222205</v>
      </c>
      <c r="Q34" s="6">
        <f t="shared" si="10"/>
        <v>0.42708333333333315</v>
      </c>
      <c r="R34" s="6">
        <f>R33+$H46</f>
        <v>0.39930555555555547</v>
      </c>
      <c r="S34" s="6">
        <f t="shared" si="10"/>
        <v>0.43194444444444424</v>
      </c>
      <c r="T34" s="6">
        <f t="shared" si="10"/>
        <v>0.43680555555555534</v>
      </c>
      <c r="U34" s="6">
        <f>U33+$H46</f>
        <v>0.40277777777777768</v>
      </c>
      <c r="W34" s="1"/>
    </row>
    <row r="35" spans="7:23" x14ac:dyDescent="0.55000000000000004">
      <c r="G35" s="1" t="s">
        <v>6</v>
      </c>
      <c r="H35" s="6">
        <v>1.3888888888888889E-3</v>
      </c>
      <c r="I35" s="1" t="s">
        <v>6</v>
      </c>
      <c r="J35" s="6">
        <f>J34+$H35</f>
        <v>0.40902777777777766</v>
      </c>
      <c r="K35" s="6">
        <f>K34+$H35</f>
        <v>0.41249999999999987</v>
      </c>
      <c r="L35" s="6">
        <f t="shared" si="1"/>
        <v>0.39444444444444438</v>
      </c>
      <c r="M35" s="6">
        <f>M34+$H35</f>
        <v>0.41597222222222208</v>
      </c>
      <c r="N35" s="6">
        <f>N34+$H35</f>
        <v>0.41944444444444429</v>
      </c>
      <c r="O35" s="6">
        <f>O34+$H47</f>
        <v>0.39791666666666659</v>
      </c>
      <c r="P35" s="6">
        <f>P34+$H35</f>
        <v>0.42361111111111094</v>
      </c>
      <c r="Q35" s="6">
        <f>Q34+$H35</f>
        <v>0.42847222222222203</v>
      </c>
      <c r="R35" s="6">
        <f>R34+$H47</f>
        <v>0.4013888888888888</v>
      </c>
      <c r="S35" s="6">
        <f>S34+$H35</f>
        <v>0.43333333333333313</v>
      </c>
      <c r="T35" s="6">
        <f>T34+$H35</f>
        <v>0.43819444444444422</v>
      </c>
      <c r="U35" s="6">
        <f>U34+$H47</f>
        <v>0.40486111111111101</v>
      </c>
      <c r="W35" s="1"/>
    </row>
    <row r="36" spans="7:23" x14ac:dyDescent="0.55000000000000004">
      <c r="G36" s="1" t="s">
        <v>7</v>
      </c>
      <c r="H36" s="6">
        <v>3.472222222222222E-3</v>
      </c>
      <c r="I36" s="1" t="s">
        <v>7</v>
      </c>
      <c r="J36" s="6">
        <f>J35+$H36</f>
        <v>0.41249999999999987</v>
      </c>
      <c r="K36" s="6">
        <f>K35+$H36</f>
        <v>0.41597222222222208</v>
      </c>
      <c r="L36" s="6">
        <f t="shared" si="1"/>
        <v>0.3965277777777777</v>
      </c>
      <c r="M36" s="6">
        <f>M35+$H36</f>
        <v>0.41944444444444429</v>
      </c>
      <c r="N36" s="6">
        <f>N35+$H36</f>
        <v>0.4229166666666665</v>
      </c>
      <c r="O36" s="6">
        <f>O35+$H48</f>
        <v>0.39999999999999991</v>
      </c>
      <c r="P36" s="6">
        <f>P35+$H36</f>
        <v>0.42708333333333315</v>
      </c>
      <c r="Q36" s="6">
        <f>Q35+$H36</f>
        <v>0.43194444444444424</v>
      </c>
      <c r="R36" s="6">
        <f>R35+$H48</f>
        <v>0.40347222222222212</v>
      </c>
      <c r="S36" s="6">
        <f>S35+$H36</f>
        <v>0.43680555555555534</v>
      </c>
      <c r="T36" s="6">
        <f>T35+$H36</f>
        <v>0.44166666666666643</v>
      </c>
      <c r="U36" s="6">
        <f>U35+$H48</f>
        <v>0.40694444444444433</v>
      </c>
      <c r="W36" s="1"/>
    </row>
    <row r="37" spans="7:23" x14ac:dyDescent="0.55000000000000004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7:23" x14ac:dyDescent="0.55000000000000004">
      <c r="G38" s="2" t="s">
        <v>8</v>
      </c>
      <c r="H38" s="6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7:23" x14ac:dyDescent="0.55000000000000004">
      <c r="G39" s="3" t="s">
        <v>4</v>
      </c>
      <c r="H39" s="6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7:23" x14ac:dyDescent="0.55000000000000004">
      <c r="G40" s="3" t="s">
        <v>9</v>
      </c>
      <c r="H40" s="6">
        <v>0</v>
      </c>
    </row>
    <row r="41" spans="7:23" x14ac:dyDescent="0.55000000000000004">
      <c r="G41" s="3" t="s">
        <v>4</v>
      </c>
      <c r="H41" s="6">
        <v>1.3888888888888889E-3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7:23" x14ac:dyDescent="0.55000000000000004">
      <c r="G42" s="1" t="s">
        <v>3</v>
      </c>
      <c r="H42" s="6">
        <v>6.2500000000000003E-3</v>
      </c>
    </row>
    <row r="43" spans="7:23" x14ac:dyDescent="0.55000000000000004">
      <c r="G43" s="1" t="s">
        <v>4</v>
      </c>
      <c r="H43" s="6">
        <v>2.7777777777777779E-3</v>
      </c>
    </row>
    <row r="44" spans="7:23" x14ac:dyDescent="0.55000000000000004">
      <c r="G44" s="1" t="s">
        <v>5</v>
      </c>
      <c r="H44" s="6">
        <v>3.472222222222222E-3</v>
      </c>
    </row>
    <row r="45" spans="7:23" x14ac:dyDescent="0.55000000000000004">
      <c r="G45" s="1" t="s">
        <v>4</v>
      </c>
      <c r="H45" s="6">
        <v>6.9444444444444447E-4</v>
      </c>
    </row>
    <row r="46" spans="7:23" x14ac:dyDescent="0.55000000000000004">
      <c r="G46" s="1" t="s">
        <v>10</v>
      </c>
      <c r="H46" s="6">
        <v>2.7777777777777779E-3</v>
      </c>
    </row>
    <row r="47" spans="7:23" x14ac:dyDescent="0.55000000000000004">
      <c r="G47" s="1" t="s">
        <v>6</v>
      </c>
      <c r="H47" s="6">
        <v>2.0833333333333333E-3</v>
      </c>
    </row>
    <row r="48" spans="7:23" x14ac:dyDescent="0.55000000000000004">
      <c r="G48" s="1" t="s">
        <v>7</v>
      </c>
      <c r="H48" s="6">
        <v>2.0833333333333333E-3</v>
      </c>
    </row>
  </sheetData>
  <mergeCells count="3">
    <mergeCell ref="B6:F6"/>
    <mergeCell ref="B7:C7"/>
    <mergeCell ref="E7:F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기존</vt:lpstr>
      <vt:lpstr>개선</vt:lpstr>
      <vt:lpstr>개선2</vt:lpstr>
      <vt:lpstr>동시입차(기존)</vt:lpstr>
      <vt:lpstr>동시입차(개선)</vt:lpstr>
      <vt:lpstr>동시입차(개선2)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상학 이</dc:creator>
  <cp:lastModifiedBy>상학 이</cp:lastModifiedBy>
  <dcterms:created xsi:type="dcterms:W3CDTF">2024-10-05T08:33:46Z</dcterms:created>
  <dcterms:modified xsi:type="dcterms:W3CDTF">2024-10-06T10:57:56Z</dcterms:modified>
</cp:coreProperties>
</file>